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" sheetId="9" state="visible" r:id="rId9"/>
    <sheet name="시나리오 분석" sheetId="10" state="visible" r:id="rId10"/>
    <sheet name="시나리오_방법론" sheetId="11" state="visible" r:id="rId11"/>
    <sheet name="현금흐름 분석" sheetId="12" state="visible" r:id="rId12"/>
    <sheet name="세금 시뮬레이션" sheetId="13" state="visible" r:id="rId13"/>
    <sheet name="대출 레버리지 분석" sheetId="14" state="visible" r:id="rId14"/>
    <sheet name="주변시세 비교" sheetId="15" state="visible" r:id="rId15"/>
    <sheet name="정책규제 영향" sheetId="16" state="visible" r:id="rId16"/>
    <sheet name="타임라인 로드맵" sheetId="17" state="visible" r:id="rId17"/>
    <sheet name="송파구 전체 정비사업" sheetId="18" state="visible" r:id="rId18"/>
    <sheet name="현실검증_출처" sheetId="19" state="visible" r:id="rId19"/>
    <sheet name="최종 투자 판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0" borderId="0" pivotButton="0" quotePrefix="0" xfId="0"/>
    <xf numFmtId="0" fontId="11" fillId="14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실거주)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-9.800000000000001</v>
      </c>
      <c r="C8" s="11" t="n">
        <v>16.3</v>
      </c>
      <c r="D8" s="11" t="n">
        <v>17.7</v>
      </c>
      <c r="E8" s="11" t="n">
        <v>16.9</v>
      </c>
      <c r="F8" s="11" t="n">
        <v>26.6</v>
      </c>
      <c r="G8" s="11" t="n">
        <v>6.3</v>
      </c>
      <c r="H8" s="11" t="n">
        <v>7.9</v>
      </c>
      <c r="I8" s="11" t="n">
        <v>5.6</v>
      </c>
      <c r="J8" s="5" t="inlineStr"/>
    </row>
    <row r="9">
      <c r="A9" s="12" t="inlineStr">
        <is>
          <t>종합점수</t>
        </is>
      </c>
      <c r="B9" s="13" t="n">
        <v>7.53</v>
      </c>
      <c r="C9" s="13" t="n">
        <v>7.2</v>
      </c>
      <c r="D9" s="13" t="n">
        <v>6.77</v>
      </c>
      <c r="E9" s="13" t="n">
        <v>7.06</v>
      </c>
      <c r="F9" s="13" t="n">
        <v>7.35</v>
      </c>
      <c r="G9" s="13" t="n">
        <v>6.21</v>
      </c>
      <c r="H9" s="13" t="n">
        <v>6.32</v>
      </c>
      <c r="I9" s="13" t="n">
        <v>6.12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실거주 안정형</t>
        </is>
      </c>
      <c r="B13" s="4" t="inlineStr">
        <is>
          <t>장미1·2차</t>
        </is>
      </c>
      <c r="C13" s="4" t="inlineStr">
        <is>
          <t>우성1·2·3차</t>
        </is>
      </c>
      <c r="D13" s="4" t="inlineStr">
        <is>
          <t>잠실주공5단지</t>
        </is>
      </c>
      <c r="E13" s="4" t="inlineStr">
        <is>
          <t>생활/학군/유동성 균형</t>
        </is>
      </c>
    </row>
    <row r="14">
      <c r="A14" s="5" t="inlineStr">
        <is>
          <t>실거주 성장형</t>
        </is>
      </c>
      <c r="B14" s="5" t="inlineStr">
        <is>
          <t>우성4차</t>
        </is>
      </c>
      <c r="C14" s="5" t="inlineStr">
        <is>
          <t>장미3차</t>
        </is>
      </c>
      <c r="D14" s="5" t="inlineStr">
        <is>
          <t>올림픽선수촌</t>
        </is>
      </c>
      <c r="E14" s="5" t="inlineStr">
        <is>
          <t>중장기 자본차익 가능성</t>
        </is>
      </c>
    </row>
    <row r="15">
      <c r="A15" s="4" t="inlineStr">
        <is>
          <t>자금보수형</t>
        </is>
      </c>
      <c r="B15" s="4" t="inlineStr">
        <is>
          <t>장미1·2차</t>
        </is>
      </c>
      <c r="C15" s="4" t="inlineStr">
        <is>
          <t>우성4차</t>
        </is>
      </c>
      <c r="D15" s="4" t="inlineStr">
        <is>
          <t>우성1·2·3차</t>
        </is>
      </c>
      <c r="E15" s="4" t="inlineStr">
        <is>
          <t>분담금/이주비 부담 상대 완화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4" t="inlineStr">
        <is>
          <t>단지명</t>
        </is>
      </c>
      <c r="B26" s="14" t="inlineStr">
        <is>
          <t>ROI 중립(총투자비,%)</t>
        </is>
      </c>
    </row>
    <row r="27">
      <c r="A27" t="inlineStr">
        <is>
          <t>주공5</t>
        </is>
      </c>
      <c r="B27" t="n">
        <v>-9.800000000000001</v>
      </c>
    </row>
    <row r="28">
      <c r="A28" t="inlineStr">
        <is>
          <t>장미1·2</t>
        </is>
      </c>
      <c r="B28" t="n">
        <v>16.3</v>
      </c>
    </row>
    <row r="29">
      <c r="A29" t="inlineStr">
        <is>
          <t>장미3</t>
        </is>
      </c>
      <c r="B29" t="n">
        <v>17.7</v>
      </c>
    </row>
    <row r="30">
      <c r="A30" t="inlineStr">
        <is>
          <t>우성1·2·3</t>
        </is>
      </c>
      <c r="B30" t="n">
        <v>16.9</v>
      </c>
    </row>
    <row r="31">
      <c r="A31" t="inlineStr">
        <is>
          <t>우성4</t>
        </is>
      </c>
      <c r="B31" t="n">
        <v>26.6</v>
      </c>
    </row>
    <row r="32">
      <c r="A32" t="inlineStr">
        <is>
          <t>아시아</t>
        </is>
      </c>
      <c r="B32" t="n">
        <v>6.3</v>
      </c>
    </row>
    <row r="33">
      <c r="A33" t="inlineStr">
        <is>
          <t>선수촌</t>
        </is>
      </c>
      <c r="B33" t="n">
        <v>7.9</v>
      </c>
    </row>
    <row r="34">
      <c r="A34" t="inlineStr">
        <is>
          <t>훼밀리</t>
        </is>
      </c>
      <c r="B34" t="n">
        <v>5.6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8" t="n">
        <v>8</v>
      </c>
      <c r="E16" s="8" t="n">
        <v>8</v>
      </c>
      <c r="F16" s="8" t="n">
        <v>8</v>
      </c>
      <c r="G16" s="8" t="n">
        <v>9</v>
      </c>
      <c r="H16" s="6" t="n">
        <v>7</v>
      </c>
      <c r="I16" s="6" t="n">
        <v>7</v>
      </c>
      <c r="J16" s="6" t="n">
        <v>6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9</v>
      </c>
      <c r="D18" s="6" t="n">
        <v>7</v>
      </c>
      <c r="E18" s="7" t="n">
        <v>5</v>
      </c>
      <c r="F18" s="6" t="n">
        <v>7</v>
      </c>
      <c r="G18" s="6" t="n">
        <v>7</v>
      </c>
      <c r="H18" s="7" t="n">
        <v>4</v>
      </c>
      <c r="I18" s="6" t="n">
        <v>6</v>
      </c>
      <c r="J18" s="6" t="n">
        <v>6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9</v>
      </c>
      <c r="D19" s="6" t="n">
        <v>7</v>
      </c>
      <c r="E19" s="6" t="n">
        <v>6</v>
      </c>
      <c r="F19" s="6" t="n">
        <v>7</v>
      </c>
      <c r="G19" s="8" t="n">
        <v>8</v>
      </c>
      <c r="H19" s="6" t="n">
        <v>6</v>
      </c>
      <c r="I19" s="7" t="n">
        <v>5</v>
      </c>
      <c r="J19" s="7" t="n">
        <v>5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7" t="n">
        <v>4</v>
      </c>
      <c r="D23" s="6" t="n">
        <v>7</v>
      </c>
      <c r="E23" s="6" t="n">
        <v>7</v>
      </c>
      <c r="F23" s="8" t="n">
        <v>8</v>
      </c>
      <c r="G23" s="8" t="n">
        <v>9</v>
      </c>
      <c r="H23" s="7" t="n">
        <v>5</v>
      </c>
      <c r="I23" s="7" t="n">
        <v>5</v>
      </c>
      <c r="J23" s="6" t="n">
        <v>7</v>
      </c>
      <c r="K23" s="5" t="inlineStr"/>
    </row>
    <row r="25" ht="32" customHeight="1">
      <c r="A25" s="15" t="inlineStr">
        <is>
          <t>가중평균 종합점수</t>
        </is>
      </c>
      <c r="B25" s="15" t="inlineStr">
        <is>
          <t>120% (정규화)</t>
        </is>
      </c>
      <c r="C25" s="16" t="n">
        <v>7.53</v>
      </c>
      <c r="D25" s="16" t="n">
        <v>7.2</v>
      </c>
      <c r="E25" s="16" t="n">
        <v>6.77</v>
      </c>
      <c r="F25" s="16" t="n">
        <v>7.06</v>
      </c>
      <c r="G25" s="16" t="n">
        <v>7.35</v>
      </c>
      <c r="H25" s="16" t="n">
        <v>6.21</v>
      </c>
      <c r="I25" s="16" t="n">
        <v>6.32</v>
      </c>
      <c r="J25" s="16" t="n">
        <v>6.12</v>
      </c>
      <c r="K25" s="17" t="n"/>
    </row>
    <row r="26">
      <c r="A26" s="18" t="inlineStr">
        <is>
          <t>투자 추천 순위</t>
        </is>
      </c>
      <c r="B26" s="17" t="n"/>
      <c r="C26" s="19" t="inlineStr">
        <is>
          <t>1위</t>
        </is>
      </c>
      <c r="D26" s="20" t="inlineStr">
        <is>
          <t>3위</t>
        </is>
      </c>
      <c r="E26" s="21" t="inlineStr">
        <is>
          <t>5위</t>
        </is>
      </c>
      <c r="F26" s="21" t="inlineStr">
        <is>
          <t>4위</t>
        </is>
      </c>
      <c r="G26" s="22" t="inlineStr">
        <is>
          <t>2위</t>
        </is>
      </c>
      <c r="H26" s="21" t="inlineStr">
        <is>
          <t>7위</t>
        </is>
      </c>
      <c r="I26" s="21" t="inlineStr">
        <is>
          <t>6위</t>
        </is>
      </c>
      <c r="J26" s="21" t="inlineStr">
        <is>
          <t>8위</t>
        </is>
      </c>
      <c r="K26" s="17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7.2</v>
      </c>
      <c r="E31" s="4" t="n">
        <v>7.4</v>
      </c>
      <c r="F31" s="4" t="n">
        <v>6.8</v>
      </c>
      <c r="G31" s="4" t="n">
        <v>8</v>
      </c>
      <c r="H31" s="4" t="n">
        <v>6.1</v>
      </c>
      <c r="I31" s="4" t="n">
        <v>7.2</v>
      </c>
      <c r="J31" s="4" t="n">
        <v>7.4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7.6</v>
      </c>
      <c r="D32" s="5" t="n">
        <v>7</v>
      </c>
      <c r="E32" s="5" t="n">
        <v>6</v>
      </c>
      <c r="F32" s="5" t="n">
        <v>7.2</v>
      </c>
      <c r="G32" s="5" t="n">
        <v>7.7</v>
      </c>
      <c r="H32" s="5" t="n">
        <v>5.1</v>
      </c>
      <c r="I32" s="5" t="n">
        <v>5.7</v>
      </c>
      <c r="J32" s="5" t="n">
        <v>6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4" t="inlineStr">
        <is>
          <t>카테고리</t>
        </is>
      </c>
      <c r="B36" s="14" t="inlineStr">
        <is>
          <t>주공5</t>
        </is>
      </c>
      <c r="C36" s="14" t="inlineStr">
        <is>
          <t>장미1·2</t>
        </is>
      </c>
      <c r="D36" s="14" t="inlineStr">
        <is>
          <t>장미3</t>
        </is>
      </c>
      <c r="E36" s="14" t="inlineStr">
        <is>
          <t>우성1·2·3</t>
        </is>
      </c>
      <c r="F36" s="14" t="inlineStr">
        <is>
          <t>우성4</t>
        </is>
      </c>
      <c r="G36" s="14" t="inlineStr">
        <is>
          <t>아시아</t>
        </is>
      </c>
      <c r="H36" s="14" t="inlineStr">
        <is>
          <t>선수촌</t>
        </is>
      </c>
      <c r="I36" s="14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7.2</v>
      </c>
      <c r="D39" t="n">
        <v>7.4</v>
      </c>
      <c r="E39" t="n">
        <v>6.8</v>
      </c>
      <c r="F39" t="n">
        <v>8</v>
      </c>
      <c r="G39" t="n">
        <v>6.1</v>
      </c>
      <c r="H39" t="n">
        <v>7.2</v>
      </c>
      <c r="I39" t="n">
        <v>7.4</v>
      </c>
    </row>
    <row r="40">
      <c r="A40" t="inlineStr">
        <is>
          <t>안정성/리스크</t>
        </is>
      </c>
      <c r="B40" t="n">
        <v>7.6</v>
      </c>
      <c r="C40" t="n">
        <v>7</v>
      </c>
      <c r="D40" t="n">
        <v>6</v>
      </c>
      <c r="E40" t="n">
        <v>7.2</v>
      </c>
      <c r="F40" t="n">
        <v>7.7</v>
      </c>
      <c r="G40" t="n">
        <v>5.1</v>
      </c>
      <c r="H40" t="n">
        <v>5.7</v>
      </c>
      <c r="I40" t="n">
        <v>6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4" t="inlineStr">
        <is>
          <t>단지명</t>
        </is>
      </c>
      <c r="B16" s="14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4" t="inlineStr">
        <is>
          <t>시점</t>
        </is>
      </c>
      <c r="B30" s="14" t="inlineStr">
        <is>
          <t>주공5</t>
        </is>
      </c>
      <c r="C30" s="14" t="inlineStr">
        <is>
          <t>장미1·2</t>
        </is>
      </c>
      <c r="D30" s="14" t="inlineStr">
        <is>
          <t>장미3</t>
        </is>
      </c>
      <c r="E30" s="14" t="inlineStr">
        <is>
          <t>우성1·2·3</t>
        </is>
      </c>
      <c r="F30" s="14" t="inlineStr">
        <is>
          <t>우성4</t>
        </is>
      </c>
      <c r="G30" s="14" t="inlineStr">
        <is>
          <t>아시아</t>
        </is>
      </c>
      <c r="H30" s="14" t="inlineStr">
        <is>
          <t>선수촌</t>
        </is>
      </c>
      <c r="I30" s="14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취득세(3.0%)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중개수수료(0.45%)</t>
        </is>
      </c>
      <c r="B7" s="5" t="n">
        <v>0.177</v>
      </c>
      <c r="C7" s="5" t="n">
        <v>0.12</v>
      </c>
      <c r="D7" s="5" t="n">
        <v>0.112</v>
      </c>
      <c r="E7" s="5" t="n">
        <v>0.122</v>
      </c>
      <c r="F7" s="5" t="n">
        <v>0.097</v>
      </c>
      <c r="G7" s="5" t="n">
        <v>0.134</v>
      </c>
      <c r="H7" s="5" t="n">
        <v>0.113</v>
      </c>
      <c r="I7" s="5" t="n">
        <v>0.097</v>
      </c>
    </row>
    <row r="8">
      <c r="A8" s="4" t="inlineStr">
        <is>
          <t>매입 총비용</t>
        </is>
      </c>
      <c r="B8" s="4" t="n">
        <v>40.62</v>
      </c>
      <c r="C8" s="4" t="n">
        <v>27.67</v>
      </c>
      <c r="D8" s="4" t="n">
        <v>25.86</v>
      </c>
      <c r="E8" s="4" t="n">
        <v>28.08</v>
      </c>
      <c r="F8" s="4" t="n">
        <v>22.26</v>
      </c>
      <c r="G8" s="4" t="n">
        <v>30.8</v>
      </c>
      <c r="H8" s="4" t="n">
        <v>26.07</v>
      </c>
      <c r="I8" s="4" t="n">
        <v>22.25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3.32</v>
      </c>
      <c r="C10" s="4" t="n">
        <v>2.56</v>
      </c>
      <c r="D10" s="4" t="n">
        <v>2.56</v>
      </c>
      <c r="E10" s="4" t="n">
        <v>2.56</v>
      </c>
      <c r="F10" s="4" t="n">
        <v>1.9</v>
      </c>
      <c r="G10" s="4" t="n">
        <v>3.36</v>
      </c>
      <c r="H10" s="4" t="n">
        <v>1.68</v>
      </c>
      <c r="I10" s="4" t="n">
        <v>4.04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0.4</v>
      </c>
      <c r="C12" s="4" t="n">
        <v>0.24</v>
      </c>
      <c r="D12" s="4" t="n">
        <v>0.19</v>
      </c>
      <c r="E12" s="4" t="n">
        <v>0.25</v>
      </c>
      <c r="F12" s="4" t="n">
        <v>0.18</v>
      </c>
      <c r="G12" s="4" t="n">
        <v>0.26</v>
      </c>
      <c r="H12" s="4" t="n">
        <v>0.21</v>
      </c>
      <c r="I12" s="4" t="n">
        <v>0.17</v>
      </c>
    </row>
    <row r="13">
      <c r="A13" s="5" t="inlineStr">
        <is>
          <t>보유세/년</t>
        </is>
      </c>
      <c r="B13" s="5" t="n">
        <v>0.26</v>
      </c>
      <c r="C13" s="5" t="n">
        <v>0.18</v>
      </c>
      <c r="D13" s="5" t="n">
        <v>0.17</v>
      </c>
      <c r="E13" s="5" t="n">
        <v>0.18</v>
      </c>
      <c r="F13" s="5" t="n">
        <v>0.14</v>
      </c>
      <c r="G13" s="5" t="n">
        <v>0.2</v>
      </c>
      <c r="H13" s="5" t="n">
        <v>0.17</v>
      </c>
      <c r="I13" s="5" t="n">
        <v>0.14</v>
      </c>
    </row>
    <row r="14">
      <c r="A14" s="4" t="inlineStr">
        <is>
          <t>대출이자/년(프로필가정)</t>
        </is>
      </c>
      <c r="B14" s="4" t="n">
        <v>0.68</v>
      </c>
      <c r="C14" s="4" t="n">
        <v>0.47</v>
      </c>
      <c r="D14" s="4" t="n">
        <v>0.43</v>
      </c>
      <c r="E14" s="4" t="n">
        <v>0.48</v>
      </c>
      <c r="F14" s="4" t="n">
        <v>0.37</v>
      </c>
      <c r="G14" s="4" t="n">
        <v>0.52</v>
      </c>
      <c r="H14" s="4" t="n">
        <v>0.44</v>
      </c>
      <c r="I14" s="4" t="n">
        <v>0.37</v>
      </c>
    </row>
    <row r="15">
      <c r="A15" s="5" t="inlineStr">
        <is>
          <t>보유기간 총비용</t>
        </is>
      </c>
      <c r="B15" s="5" t="n">
        <v>9.300000000000001</v>
      </c>
      <c r="C15" s="5" t="n">
        <v>6.1</v>
      </c>
      <c r="D15" s="5" t="n">
        <v>5.7</v>
      </c>
      <c r="E15" s="5" t="n">
        <v>6.2</v>
      </c>
      <c r="F15" s="5" t="n">
        <v>4</v>
      </c>
      <c r="G15" s="5" t="n">
        <v>8.800000000000001</v>
      </c>
      <c r="H15" s="5" t="n">
        <v>6.6</v>
      </c>
      <c r="I15" s="5" t="n">
        <v>8.1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38.9</v>
      </c>
      <c r="C17" s="5" t="n">
        <v>33.9</v>
      </c>
      <c r="D17" s="5" t="n">
        <v>30</v>
      </c>
      <c r="E17" s="5" t="n">
        <v>34.6</v>
      </c>
      <c r="F17" s="5" t="n">
        <v>29.4</v>
      </c>
      <c r="G17" s="5" t="n">
        <v>31.6</v>
      </c>
      <c r="H17" s="5" t="n">
        <v>28.4</v>
      </c>
      <c r="I17" s="5" t="n">
        <v>26.2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55.9</v>
      </c>
      <c r="C19" s="5" t="n">
        <v>48.6</v>
      </c>
      <c r="D19" s="5" t="n">
        <v>47.7</v>
      </c>
      <c r="E19" s="5" t="n">
        <v>50.2</v>
      </c>
      <c r="F19" s="5" t="n">
        <v>41.8</v>
      </c>
      <c r="G19" s="5" t="n">
        <v>54.9</v>
      </c>
      <c r="H19" s="5" t="n">
        <v>44</v>
      </c>
      <c r="I19" s="5" t="n">
        <v>39.6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51.3</v>
      </c>
      <c r="C22" s="4" t="n">
        <v>35</v>
      </c>
      <c r="D22" s="4" t="n">
        <v>32.7</v>
      </c>
      <c r="E22" s="4" t="n">
        <v>35.5</v>
      </c>
      <c r="F22" s="4" t="n">
        <v>27.2</v>
      </c>
      <c r="G22" s="4" t="n">
        <v>40.8</v>
      </c>
      <c r="H22" s="4" t="n">
        <v>33.8</v>
      </c>
      <c r="I22" s="4" t="n">
        <v>31.3</v>
      </c>
    </row>
    <row r="23">
      <c r="A23" s="5" t="inlineStr">
        <is>
          <t>예상차익(비관)</t>
        </is>
      </c>
      <c r="B23" s="5" t="n">
        <v>-12.2</v>
      </c>
      <c r="C23" s="5" t="n">
        <v>-0.9</v>
      </c>
      <c r="D23" s="5" t="n">
        <v>-2.5</v>
      </c>
      <c r="E23" s="5" t="n">
        <v>-0.7</v>
      </c>
      <c r="F23" s="5" t="n">
        <v>2.3</v>
      </c>
      <c r="G23" s="5" t="n">
        <v>-8.9</v>
      </c>
      <c r="H23" s="5" t="n">
        <v>-5.1</v>
      </c>
      <c r="I23" s="5" t="n">
        <v>-4.9</v>
      </c>
    </row>
    <row r="24">
      <c r="A24" s="4" t="inlineStr">
        <is>
          <t>예상차익(중립)</t>
        </is>
      </c>
      <c r="B24" s="4" t="n">
        <v>-5</v>
      </c>
      <c r="C24" s="4" t="n">
        <v>5.7</v>
      </c>
      <c r="D24" s="4" t="n">
        <v>5.8</v>
      </c>
      <c r="E24" s="4" t="n">
        <v>6</v>
      </c>
      <c r="F24" s="4" t="n">
        <v>7.3</v>
      </c>
      <c r="G24" s="4" t="n">
        <v>2.6</v>
      </c>
      <c r="H24" s="4" t="n">
        <v>2.6</v>
      </c>
      <c r="I24" s="4" t="n">
        <v>1.8</v>
      </c>
    </row>
    <row r="25">
      <c r="A25" s="5" t="inlineStr">
        <is>
          <t>예상차익(낙관)</t>
        </is>
      </c>
      <c r="B25" s="5" t="n">
        <v>4.3</v>
      </c>
      <c r="C25" s="5" t="n">
        <v>13.4</v>
      </c>
      <c r="D25" s="5" t="n">
        <v>14.7</v>
      </c>
      <c r="E25" s="5" t="n">
        <v>14.4</v>
      </c>
      <c r="F25" s="5" t="n">
        <v>14.3</v>
      </c>
      <c r="G25" s="5" t="n">
        <v>13.7</v>
      </c>
      <c r="H25" s="5" t="n">
        <v>10</v>
      </c>
      <c r="I25" s="5" t="n">
        <v>8.1</v>
      </c>
    </row>
    <row r="26">
      <c r="A26" s="4" t="inlineStr">
        <is>
          <t>ROI(중립-초기원가)(%)</t>
        </is>
      </c>
      <c r="B26" s="4" t="n">
        <v>-12.4</v>
      </c>
      <c r="C26" s="4" t="n">
        <v>20.6</v>
      </c>
      <c r="D26" s="4" t="n">
        <v>22.3</v>
      </c>
      <c r="E26" s="4" t="n">
        <v>21.3</v>
      </c>
      <c r="F26" s="4" t="n">
        <v>32.6</v>
      </c>
      <c r="G26" s="4" t="n">
        <v>8.300000000000001</v>
      </c>
      <c r="H26" s="4" t="n">
        <v>10.2</v>
      </c>
      <c r="I26" s="4" t="n">
        <v>7.9</v>
      </c>
    </row>
    <row r="27">
      <c r="A27" s="5" t="inlineStr">
        <is>
          <t>ROI(중립-총투자비)(%)</t>
        </is>
      </c>
      <c r="B27" s="5" t="n">
        <v>-9.800000000000001</v>
      </c>
      <c r="C27" s="5" t="n">
        <v>16.3</v>
      </c>
      <c r="D27" s="5" t="n">
        <v>17.7</v>
      </c>
      <c r="E27" s="5" t="n">
        <v>16.9</v>
      </c>
      <c r="F27" s="5" t="n">
        <v>26.6</v>
      </c>
      <c r="G27" s="5" t="n">
        <v>6.3</v>
      </c>
      <c r="H27" s="5" t="n">
        <v>7.9</v>
      </c>
      <c r="I27" s="5" t="n">
        <v>5.6</v>
      </c>
    </row>
    <row r="28">
      <c r="A28" s="4" t="inlineStr">
        <is>
          <t>연환산CAGR(총투자비)(%)</t>
        </is>
      </c>
      <c r="B28" s="4" t="n">
        <v>-1.9</v>
      </c>
      <c r="C28" s="4" t="n">
        <v>3.1</v>
      </c>
      <c r="D28" s="4" t="n">
        <v>3.3</v>
      </c>
      <c r="E28" s="4" t="n">
        <v>3.2</v>
      </c>
      <c r="F28" s="4" t="n">
        <v>6.1</v>
      </c>
      <c r="G28" s="4" t="n">
        <v>0.9</v>
      </c>
      <c r="H28" s="4" t="n">
        <v>1.1</v>
      </c>
      <c r="I28" s="4" t="n">
        <v>0.8</v>
      </c>
    </row>
    <row r="31">
      <c r="A31" s="14" t="inlineStr">
        <is>
          <t>단지명</t>
        </is>
      </c>
      <c r="B31" s="14" t="inlineStr">
        <is>
          <t>비관ROI(총투자비)</t>
        </is>
      </c>
      <c r="C31" s="14" t="inlineStr">
        <is>
          <t>중립ROI(총투자비)</t>
        </is>
      </c>
      <c r="D31" s="14" t="inlineStr">
        <is>
          <t>낙관ROI(총투자비)</t>
        </is>
      </c>
    </row>
    <row r="32">
      <c r="A32" t="inlineStr">
        <is>
          <t>주공5</t>
        </is>
      </c>
      <c r="B32" t="n">
        <v>-23.9</v>
      </c>
      <c r="C32" t="n">
        <v>-9.800000000000001</v>
      </c>
      <c r="D32" t="n">
        <v>8.300000000000001</v>
      </c>
    </row>
    <row r="33">
      <c r="A33" t="inlineStr">
        <is>
          <t>장미1·2</t>
        </is>
      </c>
      <c r="B33" t="n">
        <v>-2.6</v>
      </c>
      <c r="C33" t="n">
        <v>16.3</v>
      </c>
      <c r="D33" t="n">
        <v>38</v>
      </c>
    </row>
    <row r="34">
      <c r="A34" t="inlineStr">
        <is>
          <t>장미3</t>
        </is>
      </c>
      <c r="B34" t="n">
        <v>-7.6</v>
      </c>
      <c r="C34" t="n">
        <v>17.7</v>
      </c>
      <c r="D34" t="n">
        <v>44.6</v>
      </c>
    </row>
    <row r="35">
      <c r="A35" t="inlineStr">
        <is>
          <t>우성1·2·3</t>
        </is>
      </c>
      <c r="B35" t="n">
        <v>-2</v>
      </c>
      <c r="C35" t="n">
        <v>16.9</v>
      </c>
      <c r="D35" t="n">
        <v>40.3</v>
      </c>
    </row>
    <row r="36">
      <c r="A36" t="inlineStr">
        <is>
          <t>우성4</t>
        </is>
      </c>
      <c r="B36" t="n">
        <v>8.5</v>
      </c>
      <c r="C36" t="n">
        <v>26.6</v>
      </c>
      <c r="D36" t="n">
        <v>52.2</v>
      </c>
    </row>
    <row r="37">
      <c r="A37" t="inlineStr">
        <is>
          <t>아시아</t>
        </is>
      </c>
      <c r="B37" t="n">
        <v>-22</v>
      </c>
      <c r="C37" t="n">
        <v>6.3</v>
      </c>
      <c r="D37" t="n">
        <v>33.3</v>
      </c>
    </row>
    <row r="38">
      <c r="A38" t="inlineStr">
        <is>
          <t>선수촌</t>
        </is>
      </c>
      <c r="B38" t="n">
        <v>-15.3</v>
      </c>
      <c r="C38" t="n">
        <v>7.9</v>
      </c>
      <c r="D38" t="n">
        <v>29.5</v>
      </c>
    </row>
    <row r="39">
      <c r="A39" t="inlineStr">
        <is>
          <t>훼밀리</t>
        </is>
      </c>
      <c r="B39" t="n">
        <v>-15.9</v>
      </c>
      <c r="C39" t="n">
        <v>5.6</v>
      </c>
      <c r="D39" t="n">
        <v>25.6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3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3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3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4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4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3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3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3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3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3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4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3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3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3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4" t="inlineStr">
        <is>
          <t>높음</t>
        </is>
      </c>
    </row>
    <row r="20">
      <c r="A20" s="18" t="inlineStr">
        <is>
          <t>종합 리스크 점수</t>
        </is>
      </c>
      <c r="B20" s="25" t="n">
        <v>43</v>
      </c>
      <c r="D20" s="26" t="n">
        <v>36.6</v>
      </c>
      <c r="F20" s="25" t="n">
        <v>40.1</v>
      </c>
      <c r="H20" s="26" t="n">
        <v>33.6</v>
      </c>
      <c r="J20" s="27" t="n">
        <v>24.5</v>
      </c>
      <c r="L20" s="25" t="n">
        <v>43.7</v>
      </c>
      <c r="N20" s="25" t="n">
        <v>42.1</v>
      </c>
      <c r="P20" s="26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8" t="inlineStr">
        <is>
          <t>1. 서울 재건축 평균 소요기간: 조합설립~입주 약 10~16년</t>
        </is>
      </c>
    </row>
    <row r="13">
      <c r="A13" s="28" t="inlineStr">
        <is>
          <t>2. 분양가 대비 현시세 평균 프리미엄: 100~200% 상승</t>
        </is>
      </c>
    </row>
    <row r="14">
      <c r="A14" s="28" t="inlineStr">
        <is>
          <t>3. 추가공사비 이슈는 5천세대+ 대단지에서 빈번 → 주공5/선수촌 주의</t>
        </is>
      </c>
    </row>
    <row r="15">
      <c r="A15" s="28" t="inlineStr">
        <is>
          <t>4. 초기 매입가 낮을수록 ROI 극대화 → 우성4차/훼밀리 유리</t>
        </is>
      </c>
    </row>
    <row r="16">
      <c r="A16" s="28" t="inlineStr">
        <is>
          <t>5. 한강변+강남권 입지 = 완공후 시세 프리미엄 극대화</t>
        </is>
      </c>
    </row>
    <row r="17">
      <c r="A17" s="28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확률(분위수)+레짐 기반 시나리오 수익 시뮬레이션 (실거주)</t>
        </is>
      </c>
    </row>
    <row r="3">
      <c r="A3" s="29" t="inlineStr">
        <is>
          <t>모델 요약: MCP 신뢰도·리스크·진행률·벤치마크(IQR=2.0, 중앙값=14.0년) 기반으로 Bull/Base/Bear를 산정</t>
        </is>
      </c>
    </row>
    <row r="4">
      <c r="A4" s="29" t="inlineStr">
        <is>
          <t>확률 가중치: Bull 20% / Base 50% / Bear 30% (정적 3점 추정이 아니라 분위수 기반 대역폭 적용)</t>
        </is>
      </c>
    </row>
    <row r="5" ht="28" customHeight="1">
      <c r="A5" s="3" t="inlineStr">
        <is>
          <t>시나리오</t>
        </is>
      </c>
      <c r="B5" s="3" t="inlineStr">
        <is>
          <t>분위수(가격/비용)</t>
        </is>
      </c>
      <c r="C5" s="3" t="inlineStr">
        <is>
          <t>가중확률</t>
        </is>
      </c>
      <c r="D5" s="3" t="inlineStr">
        <is>
          <t>정책레짐(가격/분담금/기간)</t>
        </is>
      </c>
      <c r="E5" s="3" t="inlineStr">
        <is>
          <t>설명</t>
        </is>
      </c>
    </row>
    <row r="6">
      <c r="A6" s="4" t="inlineStr">
        <is>
          <t>낙관 (Bull / P90)</t>
        </is>
      </c>
      <c r="B6" s="4" t="inlineStr">
        <is>
          <t>P90 / P25</t>
        </is>
      </c>
      <c r="C6" s="4" t="inlineStr">
        <is>
          <t>20%</t>
        </is>
      </c>
      <c r="D6" s="4" t="inlineStr">
        <is>
          <t>+0.03 / +0.03 / +0.03</t>
        </is>
      </c>
      <c r="E6" s="4" t="inlineStr">
        <is>
          <t>가격 P90 · 비용/기간 P25, 금리완화·정책완화 레짐</t>
        </is>
      </c>
    </row>
    <row r="7">
      <c r="A7" s="5" t="inlineStr">
        <is>
          <t>중립 (Base / P50)</t>
        </is>
      </c>
      <c r="B7" s="5" t="inlineStr">
        <is>
          <t>P50 / P50</t>
        </is>
      </c>
      <c r="C7" s="5" t="inlineStr">
        <is>
          <t>50%</t>
        </is>
      </c>
      <c r="D7" s="5" t="inlineStr">
        <is>
          <t>+0.00 / +0.00 / +0.00</t>
        </is>
      </c>
      <c r="E7" s="5" t="inlineStr">
        <is>
          <t>가격/비용/기간 P50, 현재 규제·금리 레짐 유지</t>
        </is>
      </c>
    </row>
    <row r="8">
      <c r="A8" s="4" t="inlineStr">
        <is>
          <t>비관 (Bear / P10)</t>
        </is>
      </c>
      <c r="B8" s="4" t="inlineStr">
        <is>
          <t>P10 / P90</t>
        </is>
      </c>
      <c r="C8" s="4" t="inlineStr">
        <is>
          <t>30%</t>
        </is>
      </c>
      <c r="D8" s="4" t="inlineStr">
        <is>
          <t>+0.04 / +0.05 / +0.06</t>
        </is>
      </c>
      <c r="E8" s="4" t="inlineStr">
        <is>
          <t>가격 P10 · 비용/기간 P90, 금리상승·규제강화 레짐</t>
        </is>
      </c>
    </row>
    <row r="10" ht="30" customHeight="1">
      <c r="A10" s="30" t="inlineStr">
        <is>
          <t>시나리오: 낙관 (Bull / P90)</t>
        </is>
      </c>
    </row>
    <row r="11">
      <c r="A11" s="29" t="inlineStr">
        <is>
          <t>전제: 가격 P90 · 비용/기간 P25, 금리완화·정책완화 레짐 (가중확률 20%)</t>
        </is>
      </c>
    </row>
    <row r="12" ht="28" customHeight="1">
      <c r="A12" s="3" t="inlineStr">
        <is>
          <t>항목</t>
        </is>
      </c>
      <c r="B12" s="3" t="inlineStr">
        <is>
          <t>주공5</t>
        </is>
      </c>
      <c r="C12" s="3" t="inlineStr">
        <is>
          <t>장미1·2</t>
        </is>
      </c>
      <c r="D12" s="3" t="inlineStr">
        <is>
          <t>장미3</t>
        </is>
      </c>
      <c r="E12" s="3" t="inlineStr">
        <is>
          <t>우성1·2·3</t>
        </is>
      </c>
      <c r="F12" s="3" t="inlineStr">
        <is>
          <t>우성4</t>
        </is>
      </c>
      <c r="G12" s="3" t="inlineStr">
        <is>
          <t>아시아</t>
        </is>
      </c>
      <c r="H12" s="3" t="inlineStr">
        <is>
          <t>선수촌</t>
        </is>
      </c>
      <c r="I12" s="3" t="inlineStr">
        <is>
          <t>훼밀리</t>
        </is>
      </c>
    </row>
    <row r="13">
      <c r="A13" s="4" t="inlineStr">
        <is>
          <t>예상신축가(억)</t>
        </is>
      </c>
      <c r="B13" s="4" t="n">
        <v>55.9</v>
      </c>
      <c r="C13" s="4" t="n">
        <v>48.6</v>
      </c>
      <c r="D13" s="4" t="n">
        <v>47.7</v>
      </c>
      <c r="E13" s="4" t="n">
        <v>50.2</v>
      </c>
      <c r="F13" s="4" t="n">
        <v>41.8</v>
      </c>
      <c r="G13" s="4" t="n">
        <v>54.9</v>
      </c>
      <c r="H13" s="4" t="n">
        <v>44</v>
      </c>
      <c r="I13" s="4" t="n">
        <v>39.6</v>
      </c>
    </row>
    <row r="14">
      <c r="A14" s="5" t="inlineStr">
        <is>
          <t>분담금(억)</t>
        </is>
      </c>
      <c r="B14" s="5" t="n">
        <v>3</v>
      </c>
      <c r="C14" s="5" t="n">
        <v>2.3</v>
      </c>
      <c r="D14" s="5" t="n">
        <v>2.2</v>
      </c>
      <c r="E14" s="5" t="n">
        <v>2.3</v>
      </c>
      <c r="F14" s="5" t="n">
        <v>1.7</v>
      </c>
      <c r="G14" s="5" t="n">
        <v>2.9</v>
      </c>
      <c r="H14" s="5" t="n">
        <v>1.5</v>
      </c>
      <c r="I14" s="5" t="n">
        <v>3.7</v>
      </c>
    </row>
    <row r="15">
      <c r="A15" s="4" t="inlineStr">
        <is>
          <t>이주기간(년)</t>
        </is>
      </c>
      <c r="B15" s="4" t="n">
        <v>3.9</v>
      </c>
      <c r="C15" s="4" t="n">
        <v>3.6</v>
      </c>
      <c r="D15" s="4" t="n">
        <v>3.4</v>
      </c>
      <c r="E15" s="4" t="n">
        <v>3.5</v>
      </c>
      <c r="F15" s="4" t="n">
        <v>2.6</v>
      </c>
      <c r="G15" s="4" t="n">
        <v>4.8</v>
      </c>
      <c r="H15" s="4" t="n">
        <v>5.4</v>
      </c>
      <c r="I15" s="4" t="n">
        <v>5.5</v>
      </c>
    </row>
    <row r="16">
      <c r="A16" s="5" t="inlineStr">
        <is>
          <t>총투자비(억)</t>
        </is>
      </c>
      <c r="B16" s="5" t="n">
        <v>50.5</v>
      </c>
      <c r="C16" s="5" t="n">
        <v>34.6</v>
      </c>
      <c r="D16" s="5" t="n">
        <v>32.2</v>
      </c>
      <c r="E16" s="5" t="n">
        <v>35.1</v>
      </c>
      <c r="F16" s="5" t="n">
        <v>27</v>
      </c>
      <c r="G16" s="5" t="n">
        <v>40</v>
      </c>
      <c r="H16" s="5" t="n">
        <v>33.3</v>
      </c>
      <c r="I16" s="5" t="n">
        <v>30.9</v>
      </c>
    </row>
    <row r="17">
      <c r="A17" s="4" t="inlineStr">
        <is>
          <t>예상차익(억)</t>
        </is>
      </c>
      <c r="B17" s="11" t="n">
        <v>5.4</v>
      </c>
      <c r="C17" s="11" t="n">
        <v>14</v>
      </c>
      <c r="D17" s="11" t="n">
        <v>15.5</v>
      </c>
      <c r="E17" s="11" t="n">
        <v>15.1</v>
      </c>
      <c r="F17" s="11" t="n">
        <v>14.8</v>
      </c>
      <c r="G17" s="11" t="n">
        <v>14.9</v>
      </c>
      <c r="H17" s="11" t="n">
        <v>10.7</v>
      </c>
      <c r="I17" s="11" t="n">
        <v>8.699999999999999</v>
      </c>
    </row>
    <row r="18">
      <c r="A18" s="5" t="inlineStr">
        <is>
          <t>ROI(초기원가,%)</t>
        </is>
      </c>
      <c r="B18" s="11" t="n">
        <v>13.3</v>
      </c>
      <c r="C18" s="11" t="n">
        <v>50.6</v>
      </c>
      <c r="D18" s="11" t="n">
        <v>60.1</v>
      </c>
      <c r="E18" s="11" t="n">
        <v>53.9</v>
      </c>
      <c r="F18" s="11" t="n">
        <v>66.5</v>
      </c>
      <c r="G18" s="11" t="n">
        <v>48.3</v>
      </c>
      <c r="H18" s="11" t="n">
        <v>41</v>
      </c>
      <c r="I18" s="11" t="n">
        <v>39.3</v>
      </c>
    </row>
    <row r="19">
      <c r="A19" s="4" t="inlineStr">
        <is>
          <t>ROI(총투자비,%)</t>
        </is>
      </c>
      <c r="B19" s="11" t="n">
        <v>10.7</v>
      </c>
      <c r="C19" s="11" t="n">
        <v>40.4</v>
      </c>
      <c r="D19" s="11" t="n">
        <v>48.3</v>
      </c>
      <c r="E19" s="11" t="n">
        <v>43.2</v>
      </c>
      <c r="F19" s="11" t="n">
        <v>54.9</v>
      </c>
      <c r="G19" s="11" t="n">
        <v>37.1</v>
      </c>
      <c r="H19" s="11" t="n">
        <v>32.1</v>
      </c>
      <c r="I19" s="11" t="n">
        <v>28.3</v>
      </c>
    </row>
    <row r="20">
      <c r="A20" s="5" t="inlineStr">
        <is>
          <t>연환산CAGR(%)</t>
        </is>
      </c>
      <c r="B20" s="11" t="n">
        <v>2.1</v>
      </c>
      <c r="C20" s="11" t="n">
        <v>7.7</v>
      </c>
      <c r="D20" s="11" t="n">
        <v>9.4</v>
      </c>
      <c r="E20" s="11" t="n">
        <v>8.300000000000001</v>
      </c>
      <c r="F20" s="11" t="n">
        <v>12.9</v>
      </c>
      <c r="G20" s="11" t="n">
        <v>5.6</v>
      </c>
      <c r="H20" s="11" t="n">
        <v>4.4</v>
      </c>
      <c r="I20" s="11" t="n">
        <v>3.9</v>
      </c>
    </row>
    <row r="22" ht="30" customHeight="1">
      <c r="A22" s="31" t="inlineStr">
        <is>
          <t>시나리오: 중립 (Base / P50)</t>
        </is>
      </c>
    </row>
    <row r="23">
      <c r="A23" s="29" t="inlineStr">
        <is>
          <t>전제: 가격/비용/기간 P50, 현재 규제·금리 레짐 유지 (가중확률 50%)</t>
        </is>
      </c>
    </row>
    <row r="24" ht="28" customHeight="1">
      <c r="A24" s="3" t="inlineStr">
        <is>
          <t>항목</t>
        </is>
      </c>
      <c r="B24" s="3" t="inlineStr">
        <is>
          <t>주공5</t>
        </is>
      </c>
      <c r="C24" s="3" t="inlineStr">
        <is>
          <t>장미1·2</t>
        </is>
      </c>
      <c r="D24" s="3" t="inlineStr">
        <is>
          <t>장미3</t>
        </is>
      </c>
      <c r="E24" s="3" t="inlineStr">
        <is>
          <t>우성1·2·3</t>
        </is>
      </c>
      <c r="F24" s="3" t="inlineStr">
        <is>
          <t>우성4</t>
        </is>
      </c>
      <c r="G24" s="3" t="inlineStr">
        <is>
          <t>아시아</t>
        </is>
      </c>
      <c r="H24" s="3" t="inlineStr">
        <is>
          <t>선수촌</t>
        </is>
      </c>
      <c r="I24" s="3" t="inlineStr">
        <is>
          <t>훼밀리</t>
        </is>
      </c>
    </row>
    <row r="25">
      <c r="A25" s="4" t="inlineStr">
        <is>
          <t>예상신축가(억)</t>
        </is>
      </c>
      <c r="B25" s="4" t="n">
        <v>46.3</v>
      </c>
      <c r="C25" s="4" t="n">
        <v>40.7</v>
      </c>
      <c r="D25" s="4" t="n">
        <v>38.5</v>
      </c>
      <c r="E25" s="4" t="n">
        <v>41.5</v>
      </c>
      <c r="F25" s="4" t="n">
        <v>34.5</v>
      </c>
      <c r="G25" s="4" t="n">
        <v>43.4</v>
      </c>
      <c r="H25" s="4" t="n">
        <v>36.4</v>
      </c>
      <c r="I25" s="4" t="n">
        <v>33.1</v>
      </c>
    </row>
    <row r="26">
      <c r="A26" s="5" t="inlineStr">
        <is>
          <t>분담금(억)</t>
        </is>
      </c>
      <c r="B26" s="5" t="n">
        <v>3.3</v>
      </c>
      <c r="C26" s="5" t="n">
        <v>2.6</v>
      </c>
      <c r="D26" s="5" t="n">
        <v>2.6</v>
      </c>
      <c r="E26" s="5" t="n">
        <v>2.6</v>
      </c>
      <c r="F26" s="5" t="n">
        <v>1.9</v>
      </c>
      <c r="G26" s="5" t="n">
        <v>3.4</v>
      </c>
      <c r="H26" s="5" t="n">
        <v>1.7</v>
      </c>
      <c r="I26" s="5" t="n">
        <v>4</v>
      </c>
    </row>
    <row r="27">
      <c r="A27" s="4" t="inlineStr">
        <is>
          <t>이주기간(년)</t>
        </is>
      </c>
      <c r="B27" s="4" t="n">
        <v>4.5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5.5</v>
      </c>
      <c r="H27" s="4" t="n">
        <v>6</v>
      </c>
      <c r="I27" s="4" t="n">
        <v>6</v>
      </c>
    </row>
    <row r="28">
      <c r="A28" s="5" t="inlineStr">
        <is>
          <t>총투자비(억)</t>
        </is>
      </c>
      <c r="B28" s="5" t="n">
        <v>51.3</v>
      </c>
      <c r="C28" s="5" t="n">
        <v>35</v>
      </c>
      <c r="D28" s="5" t="n">
        <v>32.8</v>
      </c>
      <c r="E28" s="5" t="n">
        <v>35.6</v>
      </c>
      <c r="F28" s="5" t="n">
        <v>27.2</v>
      </c>
      <c r="G28" s="5" t="n">
        <v>40.9</v>
      </c>
      <c r="H28" s="5" t="n">
        <v>33.8</v>
      </c>
      <c r="I28" s="5" t="n">
        <v>31.3</v>
      </c>
    </row>
    <row r="29">
      <c r="A29" s="4" t="inlineStr">
        <is>
          <t>예상차익(억)</t>
        </is>
      </c>
      <c r="B29" s="10" t="n">
        <v>-5</v>
      </c>
      <c r="C29" s="11" t="n">
        <v>5.7</v>
      </c>
      <c r="D29" s="11" t="n">
        <v>5.7</v>
      </c>
      <c r="E29" s="11" t="n">
        <v>5.9</v>
      </c>
      <c r="F29" s="11" t="n">
        <v>7.3</v>
      </c>
      <c r="G29" s="11" t="n">
        <v>2.5</v>
      </c>
      <c r="H29" s="11" t="n">
        <v>2.6</v>
      </c>
      <c r="I29" s="11" t="n">
        <v>1.8</v>
      </c>
    </row>
    <row r="30">
      <c r="A30" s="5" t="inlineStr">
        <is>
          <t>ROI(초기원가,%)</t>
        </is>
      </c>
      <c r="B30" s="10" t="n">
        <v>-12.4</v>
      </c>
      <c r="C30" s="11" t="n">
        <v>20.5</v>
      </c>
      <c r="D30" s="11" t="n">
        <v>22.2</v>
      </c>
      <c r="E30" s="11" t="n">
        <v>21.2</v>
      </c>
      <c r="F30" s="11" t="n">
        <v>32.6</v>
      </c>
      <c r="G30" s="11" t="n">
        <v>8.199999999999999</v>
      </c>
      <c r="H30" s="11" t="n">
        <v>10.1</v>
      </c>
      <c r="I30" s="11" t="n">
        <v>8.1</v>
      </c>
    </row>
    <row r="31">
      <c r="A31" s="4" t="inlineStr">
        <is>
          <t>ROI(총투자비,%)</t>
        </is>
      </c>
      <c r="B31" s="10" t="n">
        <v>-9.800000000000001</v>
      </c>
      <c r="C31" s="11" t="n">
        <v>16.2</v>
      </c>
      <c r="D31" s="11" t="n">
        <v>17.5</v>
      </c>
      <c r="E31" s="11" t="n">
        <v>16.7</v>
      </c>
      <c r="F31" s="11" t="n">
        <v>26.6</v>
      </c>
      <c r="G31" s="11" t="n">
        <v>6.2</v>
      </c>
      <c r="H31" s="11" t="n">
        <v>7.8</v>
      </c>
      <c r="I31" s="11" t="n">
        <v>5.7</v>
      </c>
    </row>
    <row r="32">
      <c r="A32" s="5" t="inlineStr">
        <is>
          <t>연환산CAGR(%)</t>
        </is>
      </c>
      <c r="B32" s="10" t="n">
        <v>-1.9</v>
      </c>
      <c r="C32" s="11" t="n">
        <v>3</v>
      </c>
      <c r="D32" s="11" t="n">
        <v>3.3</v>
      </c>
      <c r="E32" s="11" t="n">
        <v>3.1</v>
      </c>
      <c r="F32" s="11" t="n">
        <v>6.1</v>
      </c>
      <c r="G32" s="11" t="n">
        <v>0.9</v>
      </c>
      <c r="H32" s="11" t="n">
        <v>1.1</v>
      </c>
      <c r="I32" s="11" t="n">
        <v>0.8</v>
      </c>
    </row>
    <row r="34" ht="30" customHeight="1">
      <c r="A34" s="32" t="inlineStr">
        <is>
          <t>시나리오: 비관 (Bear / P10)</t>
        </is>
      </c>
    </row>
    <row r="35">
      <c r="A35" s="29" t="inlineStr">
        <is>
          <t>전제: 가격 P10 · 비용/기간 P90, 금리상승·규제강화 레짐 (가중확률 30%)</t>
        </is>
      </c>
    </row>
    <row r="36" ht="28" customHeight="1">
      <c r="A36" s="3" t="inlineStr">
        <is>
          <t>항목</t>
        </is>
      </c>
      <c r="B36" s="3" t="inlineStr">
        <is>
          <t>주공5</t>
        </is>
      </c>
      <c r="C36" s="3" t="inlineStr">
        <is>
          <t>장미1·2</t>
        </is>
      </c>
      <c r="D36" s="3" t="inlineStr">
        <is>
          <t>장미3</t>
        </is>
      </c>
      <c r="E36" s="3" t="inlineStr">
        <is>
          <t>우성1·2·3</t>
        </is>
      </c>
      <c r="F36" s="3" t="inlineStr">
        <is>
          <t>우성4</t>
        </is>
      </c>
      <c r="G36" s="3" t="inlineStr">
        <is>
          <t>아시아</t>
        </is>
      </c>
      <c r="H36" s="3" t="inlineStr">
        <is>
          <t>선수촌</t>
        </is>
      </c>
      <c r="I36" s="3" t="inlineStr">
        <is>
          <t>훼밀리</t>
        </is>
      </c>
    </row>
    <row r="37">
      <c r="A37" s="4" t="inlineStr">
        <is>
          <t>예상신축가(억)</t>
        </is>
      </c>
      <c r="B37" s="4" t="n">
        <v>38.9</v>
      </c>
      <c r="C37" s="4" t="n">
        <v>33.9</v>
      </c>
      <c r="D37" s="4" t="n">
        <v>30</v>
      </c>
      <c r="E37" s="4" t="n">
        <v>34.6</v>
      </c>
      <c r="F37" s="4" t="n">
        <v>29.4</v>
      </c>
      <c r="G37" s="4" t="n">
        <v>31.6</v>
      </c>
      <c r="H37" s="4" t="n">
        <v>28.4</v>
      </c>
      <c r="I37" s="4" t="n">
        <v>26.2</v>
      </c>
    </row>
    <row r="38">
      <c r="A38" s="5" t="inlineStr">
        <is>
          <t>분담금(억)</t>
        </is>
      </c>
      <c r="B38" s="5" t="n">
        <v>3.9</v>
      </c>
      <c r="C38" s="5" t="n">
        <v>3</v>
      </c>
      <c r="D38" s="5" t="n">
        <v>3.2</v>
      </c>
      <c r="E38" s="5" t="n">
        <v>3</v>
      </c>
      <c r="F38" s="5" t="n">
        <v>2.3</v>
      </c>
      <c r="G38" s="5" t="n">
        <v>4.3</v>
      </c>
      <c r="H38" s="5" t="n">
        <v>2</v>
      </c>
      <c r="I38" s="5" t="n">
        <v>4.8</v>
      </c>
    </row>
    <row r="39">
      <c r="A39" s="4" t="inlineStr">
        <is>
          <t>이주기간(년)</t>
        </is>
      </c>
      <c r="B39" s="4" t="n">
        <v>5.5</v>
      </c>
      <c r="C39" s="4" t="n">
        <v>4.9</v>
      </c>
      <c r="D39" s="4" t="n">
        <v>5.2</v>
      </c>
      <c r="E39" s="4" t="n">
        <v>5</v>
      </c>
      <c r="F39" s="4" t="n">
        <v>3.7</v>
      </c>
      <c r="G39" s="4" t="n">
        <v>7.3</v>
      </c>
      <c r="H39" s="4" t="n">
        <v>7.6</v>
      </c>
      <c r="I39" s="4" t="n">
        <v>7.5</v>
      </c>
    </row>
    <row r="40">
      <c r="A40" s="5" t="inlineStr">
        <is>
          <t>총투자비(억)</t>
        </is>
      </c>
      <c r="B40" s="5" t="n">
        <v>53</v>
      </c>
      <c r="C40" s="5" t="n">
        <v>36</v>
      </c>
      <c r="D40" s="5" t="n">
        <v>34.1</v>
      </c>
      <c r="E40" s="5" t="n">
        <v>36.7</v>
      </c>
      <c r="F40" s="5" t="n">
        <v>28</v>
      </c>
      <c r="G40" s="5" t="n">
        <v>43.2</v>
      </c>
      <c r="H40" s="5" t="n">
        <v>35.1</v>
      </c>
      <c r="I40" s="5" t="n">
        <v>32.9</v>
      </c>
    </row>
    <row r="41">
      <c r="A41" s="4" t="inlineStr">
        <is>
          <t>예상차익(억)</t>
        </is>
      </c>
      <c r="B41" s="10" t="n">
        <v>-14.1</v>
      </c>
      <c r="C41" s="10" t="n">
        <v>-2.1</v>
      </c>
      <c r="D41" s="10" t="n">
        <v>-4.1</v>
      </c>
      <c r="E41" s="10" t="n">
        <v>-2.1</v>
      </c>
      <c r="F41" s="11" t="n">
        <v>1.4</v>
      </c>
      <c r="G41" s="10" t="n">
        <v>-11.6</v>
      </c>
      <c r="H41" s="10" t="n">
        <v>-6.7</v>
      </c>
      <c r="I41" s="10" t="n">
        <v>-6.7</v>
      </c>
    </row>
    <row r="42">
      <c r="A42" s="5" t="inlineStr">
        <is>
          <t>ROI(초기원가,%)</t>
        </is>
      </c>
      <c r="B42" s="10" t="n">
        <v>-34.8</v>
      </c>
      <c r="C42" s="10" t="n">
        <v>-7.7</v>
      </c>
      <c r="D42" s="10" t="n">
        <v>-15.7</v>
      </c>
      <c r="E42" s="10" t="n">
        <v>-7.3</v>
      </c>
      <c r="F42" s="11" t="n">
        <v>6.4</v>
      </c>
      <c r="G42" s="10" t="n">
        <v>-37.6</v>
      </c>
      <c r="H42" s="10" t="n">
        <v>-25.9</v>
      </c>
      <c r="I42" s="10" t="n">
        <v>-30.2</v>
      </c>
    </row>
    <row r="43">
      <c r="A43" s="4" t="inlineStr">
        <is>
          <t>ROI(총투자비,%)</t>
        </is>
      </c>
      <c r="B43" s="10" t="n">
        <v>-26.7</v>
      </c>
      <c r="C43" s="10" t="n">
        <v>-5.9</v>
      </c>
      <c r="D43" s="10" t="n">
        <v>-11.9</v>
      </c>
      <c r="E43" s="10" t="n">
        <v>-5.6</v>
      </c>
      <c r="F43" s="11" t="n">
        <v>5.1</v>
      </c>
      <c r="G43" s="10" t="n">
        <v>-26.8</v>
      </c>
      <c r="H43" s="10" t="n">
        <v>-19.2</v>
      </c>
      <c r="I43" s="10" t="n">
        <v>-20.4</v>
      </c>
    </row>
    <row r="44">
      <c r="A44" s="5" t="inlineStr">
        <is>
          <t>연환산CAGR(%)</t>
        </is>
      </c>
      <c r="B44" s="10" t="n">
        <v>-4.7</v>
      </c>
      <c r="C44" s="10" t="n">
        <v>-1</v>
      </c>
      <c r="D44" s="10" t="n">
        <v>-2</v>
      </c>
      <c r="E44" s="10" t="n">
        <v>-1</v>
      </c>
      <c r="F44" s="11" t="n">
        <v>1.1</v>
      </c>
      <c r="G44" s="10" t="n">
        <v>-3.7</v>
      </c>
      <c r="H44" s="10" t="n">
        <v>-2.4</v>
      </c>
      <c r="I44" s="10" t="n">
        <v>-2.7</v>
      </c>
    </row>
  </sheetData>
  <mergeCells count="9">
    <mergeCell ref="A11:I11"/>
    <mergeCell ref="A10:I10"/>
    <mergeCell ref="A1:I1"/>
    <mergeCell ref="A23:I23"/>
    <mergeCell ref="A3:I3"/>
    <mergeCell ref="A22:I22"/>
    <mergeCell ref="A34:I34"/>
    <mergeCell ref="A35:I35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</cols>
  <sheetData>
    <row r="1" ht="36" customHeight="1">
      <c r="A1" s="1" t="inlineStr">
        <is>
          <t>시나리오 방법론 상세 (확률/레짐/벤치마크 보정, 실거주)</t>
        </is>
      </c>
    </row>
    <row r="3">
      <c r="A3" s="2" t="inlineStr">
        <is>
          <t>[1] 모델 흐름</t>
        </is>
      </c>
    </row>
    <row r="4">
      <c r="A4" s="33" t="inlineStr">
        <is>
          <t>① MCP 실거래 12개월 표본으로 데이터 신뢰도(고/중/저)와 불확실성 점수 산정</t>
        </is>
      </c>
    </row>
    <row r="5">
      <c r="A5" s="33" t="inlineStr">
        <is>
          <t>② 리스크 매트릭스(영향×확률)의 단지별 평균으로 리스크 강도 정규화</t>
        </is>
      </c>
    </row>
    <row r="6">
      <c r="A6" s="33" t="inlineStr">
        <is>
          <t>③ 매매가 1/3/5년 CAGR 가중합(0.5/0.3/0.2)으로 단기·중기 모멘텀 계산</t>
        </is>
      </c>
    </row>
    <row r="7">
      <c r="A7" s="33" t="inlineStr">
        <is>
          <t>④ 진행률(사업 단계)에 따라 상방/하방 비대칭(지연·분담금 스트레스)을 반영</t>
        </is>
      </c>
    </row>
    <row r="8">
      <c r="A8" s="33" t="inlineStr">
        <is>
          <t>⑤ 벤치마크 소요기간(IQR/중앙값)으로 기간 변동성 하한을 캘리브레이션</t>
        </is>
      </c>
    </row>
    <row r="9">
      <c r="A9" s="33" t="inlineStr">
        <is>
          <t>⑥ Bull/Base/Bear를 P90/P50/P10 가격과 P25/P50/P90 비용·기간으로 맵핑</t>
        </is>
      </c>
    </row>
    <row r="10">
      <c r="A10" s="33" t="inlineStr">
        <is>
          <t>⑦ 프로필(실거주/투자자/법인)에 따라 가격·비용·지연 민감도(beta)를 차등 적용</t>
        </is>
      </c>
    </row>
    <row r="12">
      <c r="A12" s="2" t="inlineStr">
        <is>
          <t>[2] 핵심 산식/규칙</t>
        </is>
      </c>
    </row>
    <row r="13" ht="28" customHeight="1">
      <c r="A13" s="3" t="inlineStr">
        <is>
          <t>구분</t>
        </is>
      </c>
      <c r="B13" s="3" t="inlineStr">
        <is>
          <t>정의</t>
        </is>
      </c>
      <c r="C13" s="3" t="inlineStr">
        <is>
          <t>입력데이터</t>
        </is>
      </c>
      <c r="D13" s="3" t="inlineStr">
        <is>
          <t>식/규칙</t>
        </is>
      </c>
      <c r="E13" s="3" t="inlineStr">
        <is>
          <t>해석</t>
        </is>
      </c>
    </row>
    <row r="14">
      <c r="A14" s="4" t="inlineStr">
        <is>
          <t>모멘텀</t>
        </is>
      </c>
      <c r="B14" s="4" t="inlineStr">
        <is>
          <t>단지별 가격추세</t>
        </is>
      </c>
      <c r="C14" s="4" t="inlineStr">
        <is>
          <t>현재/1년전/3년전/5년전</t>
        </is>
      </c>
      <c r="D14" s="4" t="inlineStr">
        <is>
          <t>0.50*CAGR1 + 0.30*CAGR3 + 0.20*CAGR5</t>
        </is>
      </c>
      <c r="E14" s="4" t="inlineStr">
        <is>
          <t>최근 체감 추세와 중기 추세를 동시에 반영</t>
        </is>
      </c>
    </row>
    <row r="15">
      <c r="A15" s="5" t="inlineStr">
        <is>
          <t>리스크강도</t>
        </is>
      </c>
      <c r="B15" s="5" t="inlineStr">
        <is>
          <t>사업·정책 리스크</t>
        </is>
      </c>
      <c r="C15" s="5" t="inlineStr">
        <is>
          <t>리스크 매트릭스</t>
        </is>
      </c>
      <c r="D15" s="5" t="inlineStr">
        <is>
          <t>평균(영향×확률) / 45</t>
        </is>
      </c>
      <c r="E15" s="5" t="inlineStr">
        <is>
          <t>고위험 단지는 시나리오 대역폭 확대</t>
        </is>
      </c>
    </row>
    <row r="16">
      <c r="A16" s="4" t="inlineStr">
        <is>
          <t>데이터불확실성</t>
        </is>
      </c>
      <c r="B16" s="4" t="inlineStr">
        <is>
          <t>표본 신뢰도</t>
        </is>
      </c>
      <c r="C16" s="4" t="inlineStr">
        <is>
          <t>MCP confidence/trade_n/area_mode</t>
        </is>
      </c>
      <c r="D16" s="4" t="inlineStr">
        <is>
          <t>신뢰도 패널티 + 표본 패널티 + fallback 패널티</t>
        </is>
      </c>
      <c r="E16" s="4" t="inlineStr">
        <is>
          <t>표본 부족 단지는 보수적 변동폭 적용</t>
        </is>
      </c>
    </row>
    <row r="17">
      <c r="A17" s="5" t="inlineStr">
        <is>
          <t>가격밴드</t>
        </is>
      </c>
      <c r="B17" s="5" t="inlineStr">
        <is>
          <t>상하방 가격폭</t>
        </is>
      </c>
      <c r="C17" s="5" t="inlineStr">
        <is>
          <t>리스크/불확실성/기간</t>
        </is>
      </c>
      <c r="D17" s="5" t="inlineStr">
        <is>
          <t>0.08 + 0.08*risk + 0.04*uncertainty</t>
        </is>
      </c>
      <c r="E17" s="5" t="inlineStr">
        <is>
          <t>밴드가 클수록 Bull/Bear 차이 확대</t>
        </is>
      </c>
    </row>
    <row r="18">
      <c r="A18" s="4" t="inlineStr">
        <is>
          <t>분담금밴드</t>
        </is>
      </c>
      <c r="B18" s="4" t="inlineStr">
        <is>
          <t>공사비/분담금 변동폭</t>
        </is>
      </c>
      <c r="C18" s="4" t="inlineStr">
        <is>
          <t>리스크/불확실성/진행률</t>
        </is>
      </c>
      <c r="D18" s="4" t="inlineStr">
        <is>
          <t>0.07 + 0.09*risk + 0.05*uncertainty</t>
        </is>
      </c>
      <c r="E18" s="4" t="inlineStr">
        <is>
          <t>초기 단계일수록 분담금 상방 리스크 확대</t>
        </is>
      </c>
    </row>
    <row r="19">
      <c r="A19" s="5" t="inlineStr">
        <is>
          <t>기간밴드</t>
        </is>
      </c>
      <c r="B19" s="5" t="inlineStr">
        <is>
          <t>이주/사업 지연폭</t>
        </is>
      </c>
      <c r="C19" s="5" t="inlineStr">
        <is>
          <t>리스크/불확실성/벤치마크IQR</t>
        </is>
      </c>
      <c r="D19" s="5" t="inlineStr">
        <is>
          <t>0.07 + 0.08*risk + 0.05*unc + 0.25*dispersion</t>
        </is>
      </c>
      <c r="E19" s="5" t="inlineStr">
        <is>
          <t>벤치마크 지연 분산을 현실적으로 반영</t>
        </is>
      </c>
    </row>
    <row r="21">
      <c r="A21" s="2" t="inlineStr">
        <is>
          <t>[3] 시나리오 매핑 파라미터</t>
        </is>
      </c>
    </row>
    <row r="22" ht="28" customHeight="1">
      <c r="A22" s="3" t="inlineStr">
        <is>
          <t>시나리오</t>
        </is>
      </c>
      <c r="B22" s="3" t="inlineStr">
        <is>
          <t>가격분위수</t>
        </is>
      </c>
      <c r="C22" s="3" t="inlineStr">
        <is>
          <t>비용·기간분위수</t>
        </is>
      </c>
      <c r="D22" s="3" t="inlineStr">
        <is>
          <t>가중확률</t>
        </is>
      </c>
      <c r="E22" s="3" t="inlineStr">
        <is>
          <t>가격레짐</t>
        </is>
      </c>
      <c r="F22" s="3" t="inlineStr">
        <is>
          <t>분담금레짐</t>
        </is>
      </c>
      <c r="G22" s="3" t="inlineStr">
        <is>
          <t>지연레짐</t>
        </is>
      </c>
      <c r="H22" s="3" t="inlineStr">
        <is>
          <t>프로필 민감도(가격/비용/지연)</t>
        </is>
      </c>
      <c r="I22" s="3" t="inlineStr">
        <is>
          <t>설명</t>
        </is>
      </c>
    </row>
    <row r="23">
      <c r="A23" s="4" t="inlineStr">
        <is>
          <t>낙관 (Bull / P90)</t>
        </is>
      </c>
      <c r="B23" s="4" t="inlineStr">
        <is>
          <t>P90</t>
        </is>
      </c>
      <c r="C23" s="4" t="inlineStr">
        <is>
          <t>P25</t>
        </is>
      </c>
      <c r="D23" s="4" t="inlineStr">
        <is>
          <t>20%</t>
        </is>
      </c>
      <c r="E23" s="4" t="inlineStr">
        <is>
          <t>+0.03</t>
        </is>
      </c>
      <c r="F23" s="4" t="inlineStr">
        <is>
          <t>+0.03</t>
        </is>
      </c>
      <c r="G23" s="4" t="inlineStr">
        <is>
          <t>+0.03</t>
        </is>
      </c>
      <c r="H23" s="4" t="inlineStr">
        <is>
          <t>0.90/0.85/0.90</t>
        </is>
      </c>
      <c r="I23" s="4" t="inlineStr">
        <is>
          <t>가격 P90 · 비용/기간 P25, 금리완화·정책완화 레짐</t>
        </is>
      </c>
    </row>
    <row r="24">
      <c r="A24" s="5" t="inlineStr">
        <is>
          <t>중립 (Base / P50)</t>
        </is>
      </c>
      <c r="B24" s="5" t="inlineStr">
        <is>
          <t>P50</t>
        </is>
      </c>
      <c r="C24" s="5" t="inlineStr">
        <is>
          <t>P50</t>
        </is>
      </c>
      <c r="D24" s="5" t="inlineStr">
        <is>
          <t>50%</t>
        </is>
      </c>
      <c r="E24" s="5" t="inlineStr">
        <is>
          <t>+0.00</t>
        </is>
      </c>
      <c r="F24" s="5" t="inlineStr">
        <is>
          <t>+0.00</t>
        </is>
      </c>
      <c r="G24" s="5" t="inlineStr">
        <is>
          <t>+0.00</t>
        </is>
      </c>
      <c r="H24" s="5" t="inlineStr">
        <is>
          <t>0.90/0.85/0.90</t>
        </is>
      </c>
      <c r="I24" s="5" t="inlineStr">
        <is>
          <t>가격/비용/기간 P50, 현재 규제·금리 레짐 유지</t>
        </is>
      </c>
    </row>
    <row r="25">
      <c r="A25" s="4" t="inlineStr">
        <is>
          <t>비관 (Bear / P10)</t>
        </is>
      </c>
      <c r="B25" s="4" t="inlineStr">
        <is>
          <t>P10</t>
        </is>
      </c>
      <c r="C25" s="4" t="inlineStr">
        <is>
          <t>P90</t>
        </is>
      </c>
      <c r="D25" s="4" t="inlineStr">
        <is>
          <t>30%</t>
        </is>
      </c>
      <c r="E25" s="4" t="inlineStr">
        <is>
          <t>+0.04</t>
        </is>
      </c>
      <c r="F25" s="4" t="inlineStr">
        <is>
          <t>+0.05</t>
        </is>
      </c>
      <c r="G25" s="4" t="inlineStr">
        <is>
          <t>+0.06</t>
        </is>
      </c>
      <c r="H25" s="4" t="inlineStr">
        <is>
          <t>0.90/0.85/0.90</t>
        </is>
      </c>
      <c r="I25" s="4" t="inlineStr">
        <is>
          <t>가격 P10 · 비용/기간 P90, 금리상승·규제강화 레짐</t>
        </is>
      </c>
    </row>
    <row r="27">
      <c r="A27" s="2" t="inlineStr">
        <is>
          <t>[4] 벤치마크 캘리브레이션(소요기간)</t>
        </is>
      </c>
    </row>
    <row r="28" ht="28" customHeight="1">
      <c r="A28" s="3" t="inlineStr">
        <is>
          <t>표본수</t>
        </is>
      </c>
      <c r="B28" s="3" t="inlineStr">
        <is>
          <t>Q25</t>
        </is>
      </c>
      <c r="C28" s="3" t="inlineStr">
        <is>
          <t>중앙값</t>
        </is>
      </c>
      <c r="D28" s="3" t="inlineStr">
        <is>
          <t>Q75</t>
        </is>
      </c>
      <c r="E28" s="3" t="inlineStr">
        <is>
          <t>IQR</t>
        </is>
      </c>
      <c r="F28" s="3" t="inlineStr">
        <is>
          <t>IQR/중앙값</t>
        </is>
      </c>
      <c r="G28" s="3" t="inlineStr"/>
      <c r="H28" s="3" t="inlineStr"/>
      <c r="I28" s="3" t="inlineStr"/>
      <c r="J28" s="3" t="inlineStr"/>
    </row>
    <row r="29">
      <c r="A29" s="4" t="n">
        <v>5</v>
      </c>
      <c r="B29" s="4" t="n">
        <v>13</v>
      </c>
      <c r="C29" s="4" t="n">
        <v>14</v>
      </c>
      <c r="D29" s="4" t="n">
        <v>15</v>
      </c>
      <c r="E29" s="4" t="n">
        <v>2</v>
      </c>
      <c r="F29" s="4" t="n">
        <v>0.143</v>
      </c>
      <c r="G29" s="4" t="inlineStr"/>
      <c r="H29" s="4" t="inlineStr"/>
      <c r="I29" s="4" t="inlineStr"/>
      <c r="J29" s="4" t="inlineStr">
        <is>
          <t>벤치마크 기간 분산이 클수록 지연 시나리오 대역폭을 넓힘</t>
        </is>
      </c>
    </row>
    <row r="31">
      <c r="A31" s="2" t="inlineStr">
        <is>
          <t>[5] 단지별 캘리브레이션 로그</t>
        </is>
      </c>
    </row>
    <row r="32" ht="28" customHeight="1">
      <c r="A32" s="3" t="inlineStr">
        <is>
          <t>단지</t>
        </is>
      </c>
      <c r="B32" s="3" t="inlineStr">
        <is>
          <t>진행률</t>
        </is>
      </c>
      <c r="C32" s="3" t="inlineStr">
        <is>
          <t>리스크강도</t>
        </is>
      </c>
      <c r="D32" s="3" t="inlineStr">
        <is>
          <t>데이터불확실성</t>
        </is>
      </c>
      <c r="E32" s="3" t="inlineStr">
        <is>
          <t>모멘텀</t>
        </is>
      </c>
      <c r="F32" s="3" t="inlineStr">
        <is>
          <t>가격밴드</t>
        </is>
      </c>
      <c r="G32" s="3" t="inlineStr">
        <is>
          <t>분담금밴드</t>
        </is>
      </c>
      <c r="H32" s="3" t="inlineStr">
        <is>
          <t>기간밴드</t>
        </is>
      </c>
      <c r="I32" s="3" t="inlineStr">
        <is>
          <t>기준값(신축/분담/년)</t>
        </is>
      </c>
      <c r="J32" s="3" t="inlineStr">
        <is>
          <t>비고</t>
        </is>
      </c>
    </row>
    <row r="33">
      <c r="A33" s="4" t="inlineStr">
        <is>
          <t>잠실주공5단지</t>
        </is>
      </c>
      <c r="B33" s="4" t="inlineStr">
        <is>
          <t>65%</t>
        </is>
      </c>
      <c r="C33" s="4" t="n">
        <v>43</v>
      </c>
      <c r="D33" s="4" t="n">
        <v>0</v>
      </c>
      <c r="E33" s="4" t="n">
        <v>0.09420000000000001</v>
      </c>
      <c r="F33" s="4" t="n">
        <v>0.1564</v>
      </c>
      <c r="G33" s="4" t="n">
        <v>0.156</v>
      </c>
      <c r="H33" s="4" t="n">
        <v>0.1822</v>
      </c>
      <c r="I33" s="4" t="inlineStr">
        <is>
          <t>46.3/3.32/4.5</t>
        </is>
      </c>
      <c r="J33" s="4" t="inlineStr">
        <is>
          <t>MCP high, trade_n=146</t>
        </is>
      </c>
    </row>
    <row r="34">
      <c r="A34" s="5" t="inlineStr">
        <is>
          <t>장미1·2차</t>
        </is>
      </c>
      <c r="B34" s="5" t="inlineStr">
        <is>
          <t>45%</t>
        </is>
      </c>
      <c r="C34" s="5" t="n">
        <v>36.6</v>
      </c>
      <c r="D34" s="5" t="n">
        <v>0.2</v>
      </c>
      <c r="E34" s="5" t="n">
        <v>0.15</v>
      </c>
      <c r="F34" s="5" t="n">
        <v>0.1531</v>
      </c>
      <c r="G34" s="5" t="n">
        <v>0.1532</v>
      </c>
      <c r="H34" s="5" t="n">
        <v>0.1808</v>
      </c>
      <c r="I34" s="5" t="inlineStr">
        <is>
          <t>40.7/2.56/4.0</t>
        </is>
      </c>
      <c r="J34" s="5" t="inlineStr">
        <is>
          <t>MCP high, trade_n=37</t>
        </is>
      </c>
    </row>
    <row r="35">
      <c r="A35" s="4" t="inlineStr">
        <is>
          <t>장미3차</t>
        </is>
      </c>
      <c r="B35" s="4" t="inlineStr">
        <is>
          <t>40%</t>
        </is>
      </c>
      <c r="C35" s="4" t="n">
        <v>40.07</v>
      </c>
      <c r="D35" s="4" t="n">
        <v>1.6</v>
      </c>
      <c r="E35" s="4" t="n">
        <v>0.15</v>
      </c>
      <c r="F35" s="4" t="n">
        <v>0.2152</v>
      </c>
      <c r="G35" s="4" t="n">
        <v>0.2301</v>
      </c>
      <c r="H35" s="4" t="n">
        <v>0.257</v>
      </c>
      <c r="I35" s="4" t="inlineStr">
        <is>
          <t>38.5/2.56/4.0</t>
        </is>
      </c>
      <c r="J35" s="4" t="inlineStr">
        <is>
          <t>MCP low, trade_n=0</t>
        </is>
      </c>
    </row>
    <row r="36">
      <c r="A36" s="5" t="inlineStr">
        <is>
          <t>우성1·2·3차</t>
        </is>
      </c>
      <c r="B36" s="5" t="inlineStr">
        <is>
          <t>55%</t>
        </is>
      </c>
      <c r="C36" s="5" t="n">
        <v>33.6</v>
      </c>
      <c r="D36" s="5" t="n">
        <v>0.55</v>
      </c>
      <c r="E36" s="5" t="n">
        <v>0.15</v>
      </c>
      <c r="F36" s="5" t="n">
        <v>0.1617</v>
      </c>
      <c r="G36" s="5" t="n">
        <v>0.1647</v>
      </c>
      <c r="H36" s="5" t="n">
        <v>0.193</v>
      </c>
      <c r="I36" s="5" t="inlineStr">
        <is>
          <t>41.5/2.56/4.0</t>
        </is>
      </c>
      <c r="J36" s="5" t="inlineStr">
        <is>
          <t>MCP medium, trade_n=15</t>
        </is>
      </c>
    </row>
    <row r="37">
      <c r="A37" s="4" t="inlineStr">
        <is>
          <t>우성4차</t>
        </is>
      </c>
      <c r="B37" s="4" t="inlineStr">
        <is>
          <t>70%</t>
        </is>
      </c>
      <c r="C37" s="4" t="n">
        <v>24.47</v>
      </c>
      <c r="D37" s="4" t="n">
        <v>1.15</v>
      </c>
      <c r="E37" s="4" t="n">
        <v>0.15</v>
      </c>
      <c r="F37" s="4" t="n">
        <v>0.1695</v>
      </c>
      <c r="G37" s="4" t="n">
        <v>0.1764</v>
      </c>
      <c r="H37" s="4" t="n">
        <v>0.2068</v>
      </c>
      <c r="I37" s="4" t="inlineStr">
        <is>
          <t>34.5/1.9/3.0</t>
        </is>
      </c>
      <c r="J37" s="4" t="inlineStr">
        <is>
          <t>MCP low, trade_n=6</t>
        </is>
      </c>
    </row>
    <row r="38">
      <c r="A38" s="5" t="inlineStr">
        <is>
          <t>아시아선수촌</t>
        </is>
      </c>
      <c r="B38" s="5" t="inlineStr">
        <is>
          <t>25%</t>
        </is>
      </c>
      <c r="C38" s="5" t="n">
        <v>43.73</v>
      </c>
      <c r="D38" s="5" t="n">
        <v>1.6</v>
      </c>
      <c r="E38" s="5" t="n">
        <v>0.15</v>
      </c>
      <c r="F38" s="5" t="n">
        <v>0.2217</v>
      </c>
      <c r="G38" s="5" t="n">
        <v>0.2375</v>
      </c>
      <c r="H38" s="5" t="n">
        <v>0.2635</v>
      </c>
      <c r="I38" s="5" t="inlineStr">
        <is>
          <t>43.4/3.36/5.5</t>
        </is>
      </c>
      <c r="J38" s="5" t="inlineStr">
        <is>
          <t>MCP low, trade_n=4</t>
        </is>
      </c>
    </row>
    <row r="39">
      <c r="A39" s="4" t="inlineStr">
        <is>
          <t>올림픽선수촌</t>
        </is>
      </c>
      <c r="B39" s="4" t="inlineStr">
        <is>
          <t>20%</t>
        </is>
      </c>
      <c r="C39" s="4" t="n">
        <v>42.07</v>
      </c>
      <c r="D39" s="4" t="n">
        <v>0</v>
      </c>
      <c r="E39" s="4" t="n">
        <v>0.1367</v>
      </c>
      <c r="F39" s="4" t="n">
        <v>0.1548</v>
      </c>
      <c r="G39" s="4" t="n">
        <v>0.1541</v>
      </c>
      <c r="H39" s="4" t="n">
        <v>0.1805</v>
      </c>
      <c r="I39" s="4" t="inlineStr">
        <is>
          <t>36.4/1.68/6.0</t>
        </is>
      </c>
      <c r="J39" s="4" t="inlineStr">
        <is>
          <t>MCP high, trade_n=46</t>
        </is>
      </c>
    </row>
    <row r="40">
      <c r="A40" s="5" t="inlineStr">
        <is>
          <t>올림픽훼밀리</t>
        </is>
      </c>
      <c r="B40" s="5" t="inlineStr">
        <is>
          <t>20%</t>
        </is>
      </c>
      <c r="C40" s="5" t="n">
        <v>36.27</v>
      </c>
      <c r="D40" s="5" t="n">
        <v>0</v>
      </c>
      <c r="E40" s="5" t="n">
        <v>0.15</v>
      </c>
      <c r="F40" s="5" t="n">
        <v>0.1445</v>
      </c>
      <c r="G40" s="5" t="n">
        <v>0.1425</v>
      </c>
      <c r="H40" s="5" t="n">
        <v>0.1702</v>
      </c>
      <c r="I40" s="5" t="inlineStr">
        <is>
          <t>33.1/4.04/6.0</t>
        </is>
      </c>
      <c r="J40" s="5" t="inlineStr">
        <is>
          <t>MCP high, trade_n=63</t>
        </is>
      </c>
    </row>
    <row r="42">
      <c r="A42" s="2" t="inlineStr">
        <is>
          <t>[6] 해석 가이드/한계</t>
        </is>
      </c>
    </row>
    <row r="43">
      <c r="A43" s="33" t="inlineStr">
        <is>
          <t>1) Bull/Base/Bear는 임의 숫자가 아니라 분위수(P90/P50/P10)와 레짐 충격값 조합으로 산정됨</t>
        </is>
      </c>
    </row>
    <row r="44">
      <c r="A44" s="33" t="inlineStr">
        <is>
          <t>2) Base는 ROI 시트의 중립값을 앵커로 유지하고, 상·하방 폭만 단지별로 차등 보정함</t>
        </is>
      </c>
    </row>
    <row r="45">
      <c r="A45" s="33" t="inlineStr">
        <is>
          <t>3) 표본이 적거나 fallback 면적을 쓰는 단지는 데이터불확실성을 높여 비용·기간 리스크를 확대함</t>
        </is>
      </c>
    </row>
    <row r="46">
      <c r="A46" s="33" t="inlineStr">
        <is>
          <t>4) 본 모델은 투자결정 보조도구이며, 총회 의결/소송/정책 변경 이벤트는 월별 재산정이 필요함</t>
        </is>
      </c>
    </row>
  </sheetData>
  <mergeCells count="18">
    <mergeCell ref="A44:J44"/>
    <mergeCell ref="A1:J1"/>
    <mergeCell ref="A5:J5"/>
    <mergeCell ref="A45:J45"/>
    <mergeCell ref="A46:J46"/>
    <mergeCell ref="A8:J8"/>
    <mergeCell ref="A31:J31"/>
    <mergeCell ref="A6:J6"/>
    <mergeCell ref="A9:J9"/>
    <mergeCell ref="A27:J27"/>
    <mergeCell ref="A3:J3"/>
    <mergeCell ref="A21:J21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-1.2</v>
      </c>
      <c r="D6" s="5" t="n">
        <v>0</v>
      </c>
      <c r="E6" s="5" t="n">
        <v>-41.8</v>
      </c>
      <c r="F6" s="5" t="n">
        <v>40.7</v>
      </c>
      <c r="G6" s="10" t="n">
        <v>-1.1</v>
      </c>
    </row>
    <row r="7">
      <c r="A7" s="5" t="n">
        <v>2028</v>
      </c>
      <c r="B7" s="5" t="inlineStr">
        <is>
          <t>보유비용/분담금</t>
        </is>
      </c>
      <c r="C7" s="5" t="n">
        <v>-1.2</v>
      </c>
      <c r="D7" s="5" t="n">
        <v>0</v>
      </c>
      <c r="E7" s="5" t="n">
        <v>-43</v>
      </c>
      <c r="F7" s="5" t="n">
        <v>42.1</v>
      </c>
      <c r="G7" s="10" t="n">
        <v>-0.9</v>
      </c>
    </row>
    <row r="8">
      <c r="A8" s="5" t="n">
        <v>2029</v>
      </c>
      <c r="B8" s="5" t="inlineStr">
        <is>
          <t>보유비용/분담금</t>
        </is>
      </c>
      <c r="C8" s="5" t="n">
        <v>-2.9</v>
      </c>
      <c r="D8" s="5" t="n">
        <v>0</v>
      </c>
      <c r="E8" s="5" t="n">
        <v>-45.9</v>
      </c>
      <c r="F8" s="5" t="n">
        <v>43.5</v>
      </c>
      <c r="G8" s="10" t="n">
        <v>-2.4</v>
      </c>
    </row>
    <row r="9">
      <c r="A9" s="5" t="n">
        <v>2030</v>
      </c>
      <c r="B9" s="5" t="inlineStr">
        <is>
          <t>보유비용/분담금</t>
        </is>
      </c>
      <c r="C9" s="5" t="n">
        <v>-1.2</v>
      </c>
      <c r="D9" s="5" t="n">
        <v>0</v>
      </c>
      <c r="E9" s="5" t="n">
        <v>-47.1</v>
      </c>
      <c r="F9" s="5" t="n">
        <v>44.9</v>
      </c>
      <c r="G9" s="10" t="n">
        <v>-2.2</v>
      </c>
    </row>
    <row r="10">
      <c r="A10" s="5" t="n">
        <v>2031</v>
      </c>
      <c r="B10" s="5" t="inlineStr">
        <is>
          <t>준공+신축취득세</t>
        </is>
      </c>
      <c r="C10" s="5" t="n">
        <v>-4.2</v>
      </c>
      <c r="D10" s="5" t="n">
        <v>0</v>
      </c>
      <c r="E10" s="5" t="n">
        <v>-51.3</v>
      </c>
      <c r="F10" s="5" t="n">
        <v>46.3</v>
      </c>
      <c r="G10" s="10" t="n">
        <v>-5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-0.7</v>
      </c>
      <c r="D16" s="5" t="n">
        <v>0</v>
      </c>
      <c r="E16" s="5" t="n">
        <v>-23</v>
      </c>
      <c r="F16" s="5" t="n">
        <v>25.8</v>
      </c>
      <c r="G16" s="11" t="n">
        <v>2.8</v>
      </c>
    </row>
    <row r="17">
      <c r="A17" s="5" t="n">
        <v>2028</v>
      </c>
      <c r="B17" s="5" t="inlineStr">
        <is>
          <t>보유비용/분담금</t>
        </is>
      </c>
      <c r="C17" s="5" t="n">
        <v>-1.6</v>
      </c>
      <c r="D17" s="5" t="n">
        <v>0</v>
      </c>
      <c r="E17" s="5" t="n">
        <v>-24.6</v>
      </c>
      <c r="F17" s="5" t="n">
        <v>30.2</v>
      </c>
      <c r="G17" s="11" t="n">
        <v>5.6</v>
      </c>
    </row>
    <row r="18">
      <c r="A18" s="5" t="n">
        <v>2029</v>
      </c>
      <c r="B18" s="5" t="inlineStr">
        <is>
          <t>준공+신축취득세</t>
        </is>
      </c>
      <c r="C18" s="5" t="n">
        <v>-2.6</v>
      </c>
      <c r="D18" s="5" t="n">
        <v>0</v>
      </c>
      <c r="E18" s="5" t="n">
        <v>-27.2</v>
      </c>
      <c r="F18" s="5" t="n">
        <v>34.5</v>
      </c>
      <c r="G18" s="11" t="n">
        <v>7.3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-0.6</v>
      </c>
      <c r="D24" s="5" t="n">
        <v>0</v>
      </c>
      <c r="E24" s="5" t="n">
        <v>-26.7</v>
      </c>
      <c r="F24" s="5" t="n">
        <v>26.6</v>
      </c>
      <c r="G24" s="10" t="n">
        <v>-0.1</v>
      </c>
    </row>
    <row r="25">
      <c r="A25" s="5" t="n">
        <v>2028</v>
      </c>
      <c r="B25" s="5" t="inlineStr">
        <is>
          <t>보유비용/분담금</t>
        </is>
      </c>
      <c r="C25" s="5" t="n">
        <v>-0.6</v>
      </c>
      <c r="D25" s="5" t="n">
        <v>0</v>
      </c>
      <c r="E25" s="5" t="n">
        <v>-27.3</v>
      </c>
      <c r="F25" s="5" t="n">
        <v>28</v>
      </c>
      <c r="G25" s="11" t="n">
        <v>0.7</v>
      </c>
    </row>
    <row r="26">
      <c r="A26" s="5" t="n">
        <v>2029</v>
      </c>
      <c r="B26" s="5" t="inlineStr">
        <is>
          <t>보유비용/분담금</t>
        </is>
      </c>
      <c r="C26" s="5" t="n">
        <v>-0.6</v>
      </c>
      <c r="D26" s="5" t="n">
        <v>0</v>
      </c>
      <c r="E26" s="5" t="n">
        <v>-27.9</v>
      </c>
      <c r="F26" s="5" t="n">
        <v>29.4</v>
      </c>
      <c r="G26" s="11" t="n">
        <v>1.5</v>
      </c>
    </row>
    <row r="27">
      <c r="A27" s="5" t="n">
        <v>2030</v>
      </c>
      <c r="B27" s="5" t="inlineStr">
        <is>
          <t>보유비용/분담금</t>
        </is>
      </c>
      <c r="C27" s="5" t="n">
        <v>-1.4</v>
      </c>
      <c r="D27" s="5" t="n">
        <v>0</v>
      </c>
      <c r="E27" s="5" t="n">
        <v>-29.3</v>
      </c>
      <c r="F27" s="5" t="n">
        <v>30.8</v>
      </c>
      <c r="G27" s="11" t="n">
        <v>1.5</v>
      </c>
    </row>
    <row r="28">
      <c r="A28" s="5" t="n">
        <v>2031</v>
      </c>
      <c r="B28" s="5" t="inlineStr">
        <is>
          <t>보유비용/분담금</t>
        </is>
      </c>
      <c r="C28" s="5" t="n">
        <v>-0.6</v>
      </c>
      <c r="D28" s="5" t="n">
        <v>0</v>
      </c>
      <c r="E28" s="5" t="n">
        <v>-29.9</v>
      </c>
      <c r="F28" s="5" t="n">
        <v>32.2</v>
      </c>
      <c r="G28" s="11" t="n">
        <v>2.3</v>
      </c>
    </row>
    <row r="29">
      <c r="A29" s="5" t="n">
        <v>2032</v>
      </c>
      <c r="B29" s="5" t="inlineStr">
        <is>
          <t>보유비용/분담금</t>
        </is>
      </c>
      <c r="C29" s="5" t="n">
        <v>-0.6</v>
      </c>
      <c r="D29" s="5" t="n">
        <v>0</v>
      </c>
      <c r="E29" s="5" t="n">
        <v>-30.5</v>
      </c>
      <c r="F29" s="5" t="n">
        <v>33.6</v>
      </c>
      <c r="G29" s="11" t="n">
        <v>3.1</v>
      </c>
    </row>
    <row r="30">
      <c r="A30" s="5" t="n">
        <v>2033</v>
      </c>
      <c r="B30" s="5" t="inlineStr">
        <is>
          <t>보유비용/분담금</t>
        </is>
      </c>
      <c r="C30" s="5" t="n">
        <v>-0.6</v>
      </c>
      <c r="D30" s="5" t="n">
        <v>0</v>
      </c>
      <c r="E30" s="5" t="n">
        <v>-31.1</v>
      </c>
      <c r="F30" s="5" t="n">
        <v>35</v>
      </c>
      <c r="G30" s="11" t="n">
        <v>3.9</v>
      </c>
    </row>
    <row r="31">
      <c r="A31" s="5" t="n">
        <v>2034</v>
      </c>
      <c r="B31" s="5" t="inlineStr">
        <is>
          <t>준공+신축취득세</t>
        </is>
      </c>
      <c r="C31" s="5" t="n">
        <v>-2.7</v>
      </c>
      <c r="D31" s="5" t="n">
        <v>0</v>
      </c>
      <c r="E31" s="5" t="n">
        <v>-33.8</v>
      </c>
      <c r="F31" s="5" t="n">
        <v>36.4</v>
      </c>
      <c r="G31" s="11" t="n">
        <v>2.6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실거주)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4" t="inlineStr">
        <is>
          <t>양도세(일반)</t>
        </is>
      </c>
      <c r="B20" s="4" t="n">
        <v>1.5</v>
      </c>
      <c r="C20" s="23" t="n">
        <v>3.1</v>
      </c>
      <c r="D20" s="23" t="n">
        <v>3</v>
      </c>
      <c r="E20" s="23" t="n">
        <v>3.2</v>
      </c>
      <c r="F20" s="23" t="n">
        <v>2.9</v>
      </c>
      <c r="G20" s="23" t="n">
        <v>3</v>
      </c>
      <c r="H20" s="4" t="n">
        <v>2.5</v>
      </c>
      <c r="I20" s="23" t="n">
        <v>2.6</v>
      </c>
    </row>
    <row r="21">
      <c r="A21" s="5" t="inlineStr">
        <is>
          <t>양도세(중과)</t>
        </is>
      </c>
      <c r="B21" s="5" t="n">
        <v>3</v>
      </c>
      <c r="C21" s="23" t="n">
        <v>5.9</v>
      </c>
      <c r="D21" s="23" t="n">
        <v>5.7</v>
      </c>
      <c r="E21" s="23" t="n">
        <v>6</v>
      </c>
      <c r="F21" s="23" t="n">
        <v>5.5</v>
      </c>
      <c r="G21" s="23" t="n">
        <v>5.7</v>
      </c>
      <c r="H21" s="5" t="n">
        <v>4.7</v>
      </c>
      <c r="I21" s="23" t="n">
        <v>4.9</v>
      </c>
    </row>
    <row r="22">
      <c r="A22" s="4" t="inlineStr">
        <is>
          <t>종부세(1주택/연)</t>
        </is>
      </c>
      <c r="B22" s="4" t="n">
        <v>0.28</v>
      </c>
      <c r="C22" s="4" t="n">
        <v>0.19</v>
      </c>
      <c r="D22" s="4" t="n">
        <v>0.18</v>
      </c>
      <c r="E22" s="4" t="n">
        <v>0.2</v>
      </c>
      <c r="F22" s="4" t="n">
        <v>0.15</v>
      </c>
      <c r="G22" s="4" t="n">
        <v>0.21</v>
      </c>
      <c r="H22" s="4" t="n">
        <v>0.18</v>
      </c>
      <c r="I22" s="4" t="n">
        <v>0.15</v>
      </c>
    </row>
    <row r="23">
      <c r="A23" s="5" t="inlineStr">
        <is>
          <t>종부세(다주택/연)</t>
        </is>
      </c>
      <c r="B23" s="5" t="n">
        <v>0.71</v>
      </c>
      <c r="C23" s="5" t="n">
        <v>0.48</v>
      </c>
      <c r="D23" s="5" t="n">
        <v>0.45</v>
      </c>
      <c r="E23" s="5" t="n">
        <v>0.49</v>
      </c>
      <c r="F23" s="5" t="n">
        <v>0.39</v>
      </c>
      <c r="G23" s="5" t="n">
        <v>0.54</v>
      </c>
      <c r="H23" s="5" t="n">
        <v>0.45</v>
      </c>
      <c r="I23" s="5" t="n">
        <v>0.39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0.68</v>
      </c>
      <c r="C7" s="4" t="n">
        <v>0.47</v>
      </c>
      <c r="D7" s="4" t="n">
        <v>0.44</v>
      </c>
      <c r="E7" s="4" t="n">
        <v>0.47</v>
      </c>
      <c r="F7" s="4" t="n">
        <v>0.37</v>
      </c>
      <c r="G7" s="4" t="n">
        <v>0.52</v>
      </c>
      <c r="H7" s="4" t="n">
        <v>0.44</v>
      </c>
      <c r="I7" s="4" t="n">
        <v>0.37</v>
      </c>
    </row>
    <row r="8">
      <c r="A8" s="5" t="inlineStr">
        <is>
          <t>레버리지ROI(%)</t>
        </is>
      </c>
      <c r="B8" s="5" t="n">
        <v>-14</v>
      </c>
      <c r="C8" s="5" t="n">
        <v>50.8</v>
      </c>
      <c r="D8" s="11" t="n">
        <v>52.2</v>
      </c>
      <c r="E8" s="11" t="n">
        <v>52.7</v>
      </c>
      <c r="F8" s="11" t="n">
        <v>73.09999999999999</v>
      </c>
      <c r="G8" s="5" t="n">
        <v>26.1</v>
      </c>
      <c r="H8" s="5" t="n">
        <v>26.2</v>
      </c>
      <c r="I8" s="5" t="n">
        <v>17.3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0.55</v>
      </c>
      <c r="C14" s="4" t="n">
        <v>0.37</v>
      </c>
      <c r="D14" s="4" t="n">
        <v>0.35</v>
      </c>
      <c r="E14" s="4" t="n">
        <v>0.38</v>
      </c>
      <c r="F14" s="4" t="n">
        <v>0.3</v>
      </c>
      <c r="G14" s="4" t="n">
        <v>0.42</v>
      </c>
      <c r="H14" s="4" t="n">
        <v>0.35</v>
      </c>
      <c r="I14" s="4" t="n">
        <v>0.3</v>
      </c>
    </row>
    <row r="15">
      <c r="A15" s="5" t="inlineStr">
        <is>
          <t>레버리지ROI(%)</t>
        </is>
      </c>
      <c r="B15" s="5" t="n">
        <v>-9.1</v>
      </c>
      <c r="C15" s="11" t="n">
        <v>44.6</v>
      </c>
      <c r="D15" s="11" t="n">
        <v>45.8</v>
      </c>
      <c r="E15" s="11" t="n">
        <v>46.2</v>
      </c>
      <c r="F15" s="11" t="n">
        <v>62.7</v>
      </c>
      <c r="G15" s="5" t="n">
        <v>25</v>
      </c>
      <c r="H15" s="5" t="n">
        <v>25.3</v>
      </c>
      <c r="I15" s="5" t="n">
        <v>17.9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0.41</v>
      </c>
      <c r="C21" s="4" t="n">
        <v>0.28</v>
      </c>
      <c r="D21" s="4" t="n">
        <v>0.26</v>
      </c>
      <c r="E21" s="4" t="n">
        <v>0.28</v>
      </c>
      <c r="F21" s="4" t="n">
        <v>0.22</v>
      </c>
      <c r="G21" s="4" t="n">
        <v>0.31</v>
      </c>
      <c r="H21" s="4" t="n">
        <v>0.26</v>
      </c>
      <c r="I21" s="4" t="n">
        <v>0.22</v>
      </c>
    </row>
    <row r="22">
      <c r="A22" s="5" t="inlineStr">
        <is>
          <t>레버리지ROI(%)</t>
        </is>
      </c>
      <c r="B22" s="5" t="n">
        <v>-5.6</v>
      </c>
      <c r="C22" s="11" t="n">
        <v>40.2</v>
      </c>
      <c r="D22" s="11" t="n">
        <v>41.3</v>
      </c>
      <c r="E22" s="11" t="n">
        <v>41.6</v>
      </c>
      <c r="F22" s="11" t="n">
        <v>55.2</v>
      </c>
      <c r="G22" s="5" t="n">
        <v>24.1</v>
      </c>
      <c r="H22" s="5" t="n">
        <v>24.7</v>
      </c>
      <c r="I22" s="5" t="n">
        <v>18.3</v>
      </c>
    </row>
    <row r="25">
      <c r="A25" s="14" t="inlineStr">
        <is>
          <t>단지</t>
        </is>
      </c>
      <c r="B25" s="14" t="inlineStr">
        <is>
          <t>주공5</t>
        </is>
      </c>
      <c r="C25" s="14" t="inlineStr">
        <is>
          <t>장미1·2</t>
        </is>
      </c>
      <c r="D25" s="14" t="inlineStr">
        <is>
          <t>장미3</t>
        </is>
      </c>
      <c r="E25" s="14" t="inlineStr">
        <is>
          <t>우성1·2·3</t>
        </is>
      </c>
      <c r="F25" s="14" t="inlineStr">
        <is>
          <t>우성4</t>
        </is>
      </c>
      <c r="G25" s="14" t="inlineStr">
        <is>
          <t>아시아</t>
        </is>
      </c>
      <c r="H25" s="14" t="inlineStr">
        <is>
          <t>선수촌</t>
        </is>
      </c>
      <c r="I25" s="14" t="inlineStr">
        <is>
          <t>훼밀리</t>
        </is>
      </c>
    </row>
    <row r="26">
      <c r="A26" s="28" t="inlineStr">
        <is>
          <t>LTV 50%</t>
        </is>
      </c>
      <c r="B26" t="n">
        <v>-14</v>
      </c>
      <c r="C26" t="n">
        <v>50.8</v>
      </c>
      <c r="D26" t="n">
        <v>52.2</v>
      </c>
      <c r="E26" t="n">
        <v>52.7</v>
      </c>
      <c r="F26" t="n">
        <v>73.09999999999999</v>
      </c>
      <c r="G26" t="n">
        <v>26.1</v>
      </c>
      <c r="H26" t="n">
        <v>26.2</v>
      </c>
      <c r="I26" t="n">
        <v>17.3</v>
      </c>
    </row>
    <row r="27">
      <c r="A27" s="28" t="inlineStr">
        <is>
          <t>LTV 40%</t>
        </is>
      </c>
      <c r="B27" t="n">
        <v>-9.1</v>
      </c>
      <c r="C27" t="n">
        <v>44.6</v>
      </c>
      <c r="D27" t="n">
        <v>45.8</v>
      </c>
      <c r="E27" t="n">
        <v>46.2</v>
      </c>
      <c r="F27" t="n">
        <v>62.7</v>
      </c>
      <c r="G27" t="n">
        <v>25</v>
      </c>
      <c r="H27" t="n">
        <v>25.3</v>
      </c>
      <c r="I27" t="n">
        <v>17.9</v>
      </c>
    </row>
    <row r="28">
      <c r="A28" s="28" t="inlineStr">
        <is>
          <t>LTV 30%</t>
        </is>
      </c>
      <c r="B28" t="n">
        <v>-5.6</v>
      </c>
      <c r="C28" t="n">
        <v>40.2</v>
      </c>
      <c r="D28" t="n">
        <v>41.3</v>
      </c>
      <c r="E28" t="n">
        <v>41.6</v>
      </c>
      <c r="F28" t="n">
        <v>55.2</v>
      </c>
      <c r="G28" t="n">
        <v>24.1</v>
      </c>
      <c r="H28" t="n">
        <v>24.7</v>
      </c>
      <c r="I28" t="n">
        <v>18.3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4" t="inlineStr">
        <is>
          <t>단지</t>
        </is>
      </c>
      <c r="B26" s="14" t="inlineStr">
        <is>
          <t>매매가(억)</t>
        </is>
      </c>
    </row>
    <row r="27">
      <c r="A27" s="28" t="inlineStr">
        <is>
          <t>잠실엘스</t>
        </is>
      </c>
      <c r="B27" t="n">
        <v>28</v>
      </c>
    </row>
    <row r="28">
      <c r="A28" s="28" t="inlineStr">
        <is>
          <t>리센츠</t>
        </is>
      </c>
      <c r="B28" t="n">
        <v>27.5</v>
      </c>
    </row>
    <row r="29">
      <c r="A29" s="28" t="inlineStr">
        <is>
          <t>트리지움</t>
        </is>
      </c>
      <c r="B29" t="n">
        <v>25</v>
      </c>
    </row>
    <row r="30">
      <c r="A30" s="28" t="inlineStr">
        <is>
          <t>파크리오</t>
        </is>
      </c>
      <c r="B30" t="n">
        <v>28.5</v>
      </c>
    </row>
    <row r="31">
      <c r="A31" s="28" t="inlineStr">
        <is>
          <t>레이크팰리스</t>
        </is>
      </c>
      <c r="B31" t="n">
        <v>25.5</v>
      </c>
    </row>
    <row r="32">
      <c r="A32" s="28" t="inlineStr">
        <is>
          <t>잠실래미안아이파크</t>
        </is>
      </c>
      <c r="B32" t="n">
        <v>32</v>
      </c>
    </row>
    <row r="33">
      <c r="A33" s="28" t="inlineStr">
        <is>
          <t>헬리오시티</t>
        </is>
      </c>
      <c r="B33" t="n">
        <v>24.5</v>
      </c>
    </row>
    <row r="34">
      <c r="A34" s="28" t="inlineStr">
        <is>
          <t>올림픽파크포레온</t>
        </is>
      </c>
      <c r="B34" t="n">
        <v>24</v>
      </c>
    </row>
    <row r="35">
      <c r="A35" s="28" t="inlineStr">
        <is>
          <t>래미안원베일리</t>
        </is>
      </c>
      <c r="B35" t="n">
        <v>42</v>
      </c>
    </row>
    <row r="36">
      <c r="A36" s="28" t="inlineStr">
        <is>
          <t>디에이치포레센트</t>
        </is>
      </c>
      <c r="B36" t="n">
        <v>38</v>
      </c>
    </row>
    <row r="37">
      <c r="A37" s="28" t="inlineStr">
        <is>
          <t>잠실주공5단지</t>
        </is>
      </c>
      <c r="B37" t="n">
        <v>39.26</v>
      </c>
    </row>
    <row r="38">
      <c r="A38" s="28" t="inlineStr">
        <is>
          <t>장미1·2차</t>
        </is>
      </c>
      <c r="B38" t="n">
        <v>26.75</v>
      </c>
    </row>
    <row r="39">
      <c r="A39" s="28" t="inlineStr">
        <is>
          <t>장미3차</t>
        </is>
      </c>
      <c r="B39" t="n">
        <v>25</v>
      </c>
    </row>
    <row r="40">
      <c r="A40" s="28" t="inlineStr">
        <is>
          <t>우성1·2·3차</t>
        </is>
      </c>
      <c r="B40" t="n">
        <v>27.15</v>
      </c>
    </row>
    <row r="41">
      <c r="A41" s="28" t="inlineStr">
        <is>
          <t>우성4차</t>
        </is>
      </c>
      <c r="B41" t="n">
        <v>21.51</v>
      </c>
    </row>
    <row r="42">
      <c r="A42" s="28" t="inlineStr">
        <is>
          <t>아시아선수촌</t>
        </is>
      </c>
      <c r="B42" t="n">
        <v>29.78</v>
      </c>
    </row>
    <row r="43">
      <c r="A43" s="28" t="inlineStr">
        <is>
          <t>올림픽선수촌</t>
        </is>
      </c>
      <c r="B43" t="n">
        <v>25.2</v>
      </c>
    </row>
    <row r="44">
      <c r="A44" s="28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3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3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4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4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4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6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6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29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33" t="inlineStr">
        <is>
          <t>1. 조합 총회 의결·소송·감사 이슈를 월 단위로 추적할 것</t>
        </is>
      </c>
    </row>
    <row r="32">
      <c r="A32" s="33" t="inlineStr">
        <is>
          <t>2. 분담금은 단일값이 아니라 낙관/중립/비관 3개 시나리오로 관리할 것</t>
        </is>
      </c>
    </row>
    <row r="33">
      <c r="A33" s="33" t="inlineStr">
        <is>
          <t>3. 토허구역 실거주 요건 충족 여부(본인·가족 거주계획) 먼저 확정할 것</t>
        </is>
      </c>
    </row>
    <row r="34">
      <c r="A34" s="33" t="inlineStr">
        <is>
          <t>4. 이주비/중도금 대출 가능 은행과 한도를 사전승인으로 확인할 것</t>
        </is>
      </c>
    </row>
    <row r="35">
      <c r="A35" s="33" t="inlineStr">
        <is>
          <t>5. 전세 유동성 저하 시 공실/월세전환 리스크를 현금흐름에 반영할 것</t>
        </is>
      </c>
    </row>
    <row r="36">
      <c r="A36" s="33" t="inlineStr">
        <is>
          <t>6. 인근 신축 입주물량 시점과 겹치는지 확인해 매도 타이밍을 분리할 것</t>
        </is>
      </c>
    </row>
    <row r="37">
      <c r="A37" s="33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실거주)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실거주 안정형</t>
        </is>
      </c>
      <c r="B5" s="5" t="inlineStr">
        <is>
          <t>장미1·2차</t>
        </is>
      </c>
      <c r="C5" s="5" t="inlineStr">
        <is>
          <t>우성1·2·3차</t>
        </is>
      </c>
      <c r="D5" s="5" t="inlineStr">
        <is>
          <t>실거주 효용+자산방어</t>
        </is>
      </c>
      <c r="E5" s="5" t="inlineStr">
        <is>
          <t>이주 시점 생활비</t>
        </is>
      </c>
      <c r="F5" s="5" t="inlineStr"/>
    </row>
    <row r="6">
      <c r="A6" s="5" t="inlineStr">
        <is>
          <t>실거주 성장형</t>
        </is>
      </c>
      <c r="B6" s="5" t="inlineStr">
        <is>
          <t>우성4차</t>
        </is>
      </c>
      <c r="C6" s="5" t="inlineStr">
        <is>
          <t>장미3차</t>
        </is>
      </c>
      <c r="D6" s="5" t="inlineStr">
        <is>
          <t>중장기 자본차익</t>
        </is>
      </c>
      <c r="E6" s="5" t="inlineStr">
        <is>
          <t>분담금 변동성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 잠재력</t>
        </is>
      </c>
      <c r="E7" s="5" t="inlineStr">
        <is>
          <t>사업기간 장기화</t>
        </is>
      </c>
      <c r="F7" s="5" t="inlineStr"/>
    </row>
    <row r="8">
      <c r="A8" s="5" t="inlineStr">
        <is>
          <t>가성비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진입가 대비 기대수익</t>
        </is>
      </c>
      <c r="E8" s="5" t="inlineStr">
        <is>
          <t>세부담/이자</t>
        </is>
      </c>
      <c r="F8" s="5" t="inlineStr"/>
    </row>
    <row r="9">
      <c r="A9" s="5" t="inlineStr">
        <is>
          <t>입지우선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</t>
        </is>
      </c>
      <c r="E9" s="5" t="inlineStr">
        <is>
          <t>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7.2</v>
      </c>
      <c r="D16" s="6" t="n">
        <v>7.4</v>
      </c>
      <c r="E16" s="6" t="n">
        <v>6.8</v>
      </c>
      <c r="F16" s="8" t="n">
        <v>8</v>
      </c>
      <c r="G16" s="6" t="n">
        <v>6.1</v>
      </c>
      <c r="H16" s="6" t="n">
        <v>7.2</v>
      </c>
      <c r="I16" s="6" t="n">
        <v>7.4</v>
      </c>
    </row>
    <row r="17">
      <c r="A17" s="5" t="inlineStr">
        <is>
          <t>안정성(10%)</t>
        </is>
      </c>
      <c r="B17" s="6" t="n">
        <v>7.6</v>
      </c>
      <c r="C17" s="6" t="n">
        <v>7</v>
      </c>
      <c r="D17" s="6" t="n">
        <v>6</v>
      </c>
      <c r="E17" s="6" t="n">
        <v>7.2</v>
      </c>
      <c r="F17" s="6" t="n">
        <v>7.7</v>
      </c>
      <c r="G17" s="7" t="n">
        <v>5.1</v>
      </c>
      <c r="H17" s="7" t="n">
        <v>5.7</v>
      </c>
      <c r="I17" s="6" t="n">
        <v>6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6" t="inlineStr">
        <is>
          <t>현금흐름 가드레일(보정점)</t>
        </is>
      </c>
      <c r="B19" s="47" t="n">
        <v>-17.5</v>
      </c>
      <c r="C19" s="48" t="n">
        <v>-0</v>
      </c>
      <c r="D19" s="48" t="n">
        <v>-0</v>
      </c>
      <c r="E19" s="48" t="n">
        <v>-0</v>
      </c>
      <c r="F19" s="48" t="n">
        <v>-0</v>
      </c>
      <c r="G19" s="48" t="n">
        <v>-0</v>
      </c>
      <c r="H19" s="48" t="n">
        <v>-0</v>
      </c>
      <c r="I19" s="48" t="n">
        <v>-0</v>
      </c>
    </row>
    <row r="20">
      <c r="A20" s="15" t="inlineStr">
        <is>
          <t>가중종합점수(100점)</t>
        </is>
      </c>
      <c r="B20" s="16" t="n">
        <v>61.3</v>
      </c>
      <c r="C20" s="16" t="n">
        <v>73.5</v>
      </c>
      <c r="D20" s="16" t="n">
        <v>69</v>
      </c>
      <c r="E20" s="16" t="n">
        <v>70</v>
      </c>
      <c r="F20" s="16" t="n">
        <v>71.2</v>
      </c>
      <c r="G20" s="16" t="n">
        <v>65.8</v>
      </c>
      <c r="H20" s="16" t="n">
        <v>65.2</v>
      </c>
      <c r="I20" s="16" t="n">
        <v>60.6</v>
      </c>
    </row>
    <row r="21">
      <c r="A21" s="15" t="inlineStr">
        <is>
          <t>최종 순위</t>
        </is>
      </c>
      <c r="B21" s="49" t="inlineStr">
        <is>
          <t>7위</t>
        </is>
      </c>
      <c r="C21" s="50" t="inlineStr">
        <is>
          <t>1위</t>
        </is>
      </c>
      <c r="D21" s="49" t="inlineStr">
        <is>
          <t>4위</t>
        </is>
      </c>
      <c r="E21" s="51" t="inlineStr">
        <is>
          <t>3위</t>
        </is>
      </c>
      <c r="F21" s="52" t="inlineStr">
        <is>
          <t>2위</t>
        </is>
      </c>
      <c r="G21" s="49" t="inlineStr">
        <is>
          <t>5위</t>
        </is>
      </c>
      <c r="H21" s="49" t="inlineStr">
        <is>
          <t>6위</t>
        </is>
      </c>
      <c r="I21" s="49" t="inlineStr">
        <is>
          <t>8위</t>
        </is>
      </c>
    </row>
    <row r="23">
      <c r="A23" s="53" t="inlineStr">
        <is>
          <t>[핵심 결론 및 전략적 제언]</t>
        </is>
      </c>
    </row>
    <row r="24">
      <c r="A24" s="34" t="inlineStr">
        <is>
          <t>0. [프로필] 실거주: 거주 효용과 안정성 우선</t>
        </is>
      </c>
    </row>
    <row r="25">
      <c r="A25" s="34" t="inlineStr">
        <is>
          <t>1. [연환산 최고] 우성4차: 2029 준공, 연환산 6.1% (총투자비 기준)</t>
        </is>
      </c>
    </row>
    <row r="26">
      <c r="A26" s="34" t="inlineStr">
        <is>
          <t>2. [중립 ROI 최고] 우성4차: ROI 26.6% (총투자비 기준)</t>
        </is>
      </c>
    </row>
    <row r="27">
      <c r="A27" s="34" t="inlineStr">
        <is>
          <t>3. [종합점수 1위] 장미1·2차: 가중종합 73.5점</t>
        </is>
      </c>
    </row>
    <row r="28">
      <c r="A28" s="34" t="inlineStr">
        <is>
          <t>4. [차순위] 우성4차, 우성1·2·3차: 분산 진입 시 리스크 완화 가능</t>
        </is>
      </c>
    </row>
    <row r="29">
      <c r="A29" s="34" t="inlineStr"/>
    </row>
    <row r="30">
      <c r="A30" s="34" t="inlineStr">
        <is>
          <t>※ ROI(초기원가)와 ROI(총투자비)를 분리 표기해 해석 혼선을 줄였습니다.</t>
        </is>
      </c>
    </row>
    <row r="31">
      <c r="A31" s="34" t="inlineStr">
        <is>
          <t>※ 시나리오 Base는 수익성 시트 중립 가정과 동일하고, Bull/Bear는 분위수(P90/P10) 기반으로 산정했습니다.</t>
        </is>
      </c>
    </row>
    <row r="32">
      <c r="A32" s="34" t="inlineStr">
        <is>
          <t>※ 시나리오 산식·가정·캘리브레이션 로그는 시나리오_방법론 시트에 상세 기록했습니다.</t>
        </is>
      </c>
    </row>
    <row r="33">
      <c r="A33" s="34" t="inlineStr">
        <is>
          <t>※ 공식/연구/커뮤니티를 신뢰도 계층으로 분리해 반영했습니다(현실검증_출처 시트 참조).</t>
        </is>
      </c>
    </row>
    <row r="34">
      <c r="A34" s="34" t="inlineStr">
        <is>
          <t>※ 본 문서는 참고자료이며 실제 투자 전 세무/법률/자금조달 검토가 필요합니다.</t>
        </is>
      </c>
    </row>
    <row r="36">
      <c r="A36" s="29" t="inlineStr">
        <is>
          <t>※ 2026-02-19 기준 공개데이터/실거래/MCP 교차검증 기반. 투자판단 참고자료이며, 전문가 상담 권장.</t>
        </is>
      </c>
    </row>
  </sheetData>
  <mergeCells count="16">
    <mergeCell ref="A29:I29"/>
    <mergeCell ref="A25:I25"/>
    <mergeCell ref="A33:I33"/>
    <mergeCell ref="A28:I28"/>
    <mergeCell ref="A32:I32"/>
    <mergeCell ref="A36:I36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2026-02-19T09:19:14Z</dcterms:created>
  <dcterms:modified xsi:type="dcterms:W3CDTF">2026-02-19T09:19:14Z</dcterms:modified>
</cp:coreProperties>
</file>