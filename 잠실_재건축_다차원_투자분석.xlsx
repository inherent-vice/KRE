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 스코어카드" sheetId="1" state="visible" r:id="rId1"/>
    <sheet name="단지별 기본정보" sheetId="2" state="visible" r:id="rId2"/>
    <sheet name="재건축 진행현황" sheetId="3" state="visible" r:id="rId3"/>
    <sheet name="시세 및 가격분석" sheetId="4" state="visible" r:id="rId4"/>
    <sheet name="수익성 시뮬레이션" sheetId="5" state="visible" r:id="rId5"/>
    <sheet name="비용구조 분석" sheetId="6" state="visible" r:id="rId6"/>
    <sheet name="리스크 매트릭스" sheetId="7" state="visible" r:id="rId7"/>
    <sheet name="벤치마크(과거사례)" sheetId="8" state="visible" r:id="rId8"/>
    <sheet name="시나리오 분석" sheetId="9" state="visible" r:id="rId9"/>
    <sheet name="현금흐름 분석" sheetId="10" state="visible" r:id="rId10"/>
    <sheet name="정책규제 영향" sheetId="11" state="visible" r:id="rId11"/>
    <sheet name="입지 인프라 분석" sheetId="12" state="visible" r:id="rId12"/>
    <sheet name="최종 투자 판단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sz val="12"/>
    </font>
    <font>
      <name val="맑은 고딕"/>
      <b val="1"/>
      <color rgb="00FFFFFF"/>
      <sz val="14"/>
    </font>
    <font>
      <name val="맑은 고딕"/>
      <b val="1"/>
      <sz val="11"/>
    </font>
    <font>
      <name val="맑은 고딕"/>
      <b val="1"/>
      <color rgb="001B2A4A"/>
      <sz val="10"/>
    </font>
    <font>
      <name val="맑은 고딕"/>
      <b val="1"/>
      <color rgb="001B2A4A"/>
      <sz val="12"/>
    </font>
    <font>
      <name val="맑은 고딕"/>
      <b val="1"/>
      <color rgb="00E74C3C"/>
      <sz val="10"/>
    </font>
    <font>
      <name val="맑은 고딕"/>
      <b val="1"/>
      <color rgb="00F39C12"/>
      <sz val="10"/>
    </font>
    <font>
      <name val="맑은 고딕"/>
      <b val="1"/>
      <color rgb="00FFFFFF"/>
      <sz val="13"/>
    </font>
    <font>
      <name val="맑은 고딕"/>
      <color rgb="00666666"/>
      <sz val="9"/>
    </font>
    <font>
      <name val="맑은 고딕"/>
      <b val="1"/>
      <color rgb="0027AE60"/>
      <sz val="10"/>
    </font>
    <font>
      <name val="맑은 고딕"/>
      <b val="1"/>
      <sz val="14"/>
    </font>
    <font>
      <name val="맑은 고딕"/>
      <i val="1"/>
      <color rgb="00999999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F2F2F2"/>
      </patternFill>
    </fill>
    <fill>
      <patternFill patternType="solid">
        <fgColor rgb="00D5F5E3"/>
      </patternFill>
    </fill>
    <fill>
      <patternFill patternType="solid">
        <fgColor rgb="00EAFAF1"/>
      </patternFill>
    </fill>
    <fill>
      <patternFill patternType="solid">
        <fgColor rgb="00FFFFFF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C9A84C"/>
      </patternFill>
    </fill>
    <fill>
      <patternFill patternType="solid">
        <fgColor rgb="00FFD700"/>
      </patternFill>
    </fill>
    <fill>
      <patternFill patternType="solid">
        <fgColor rgb="00CD7F32"/>
      </patternFill>
    </fill>
    <fill>
      <patternFill patternType="solid">
        <fgColor rgb="00C0C0C0"/>
      </patternFill>
    </fill>
    <fill>
      <patternFill patternType="solid">
        <fgColor rgb="0027AE60"/>
      </patternFill>
    </fill>
    <fill>
      <patternFill patternType="solid">
        <fgColor rgb="003498DB"/>
      </patternFill>
    </fill>
    <fill>
      <patternFill patternType="solid">
        <fgColor rgb="00E74C3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10" borderId="0" pivotButton="0" quotePrefix="0" xfId="0"/>
    <xf numFmtId="0" fontId="5" fillId="10" borderId="0" applyAlignment="1" pivotButton="0" quotePrefix="0" xfId="0">
      <alignment horizontal="center" vertical="center" wrapText="1"/>
    </xf>
    <xf numFmtId="2" fontId="6" fillId="2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7" fillId="10" borderId="0" pivotButton="0" quotePrefix="0" xfId="0"/>
    <xf numFmtId="0" fontId="5" fillId="11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13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3" fillId="10" borderId="1" applyAlignment="1" pivotButton="0" quotePrefix="0" xfId="0">
      <alignment horizontal="center" vertical="center" wrapText="1"/>
    </xf>
    <xf numFmtId="0" fontId="7" fillId="4" borderId="0" pivotButton="0" quotePrefix="0" xfId="0"/>
    <xf numFmtId="0" fontId="3" fillId="0" borderId="1" pivotButton="0" quotePrefix="0" xfId="0"/>
    <xf numFmtId="0" fontId="9" fillId="0" borderId="0" pivotButton="0" quotePrefix="0" xfId="0"/>
    <xf numFmtId="0" fontId="10" fillId="9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2" fillId="14" borderId="0" pivotButton="0" quotePrefix="0" xfId="0"/>
    <xf numFmtId="0" fontId="13" fillId="0" borderId="0" pivotButton="0" quotePrefix="0" xfId="0"/>
    <xf numFmtId="0" fontId="14" fillId="5" borderId="1" applyAlignment="1" pivotButton="0" quotePrefix="0" xfId="0">
      <alignment horizontal="center" vertical="center" wrapText="1"/>
    </xf>
    <xf numFmtId="0" fontId="12" fillId="15" borderId="0" pivotButton="0" quotePrefix="0" xfId="0"/>
    <xf numFmtId="0" fontId="12" fillId="16" borderId="0" pivotButton="0" quotePrefix="0" xfId="0"/>
    <xf numFmtId="0" fontId="3" fillId="9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15" fillId="11" borderId="0" applyAlignment="1" pivotButton="0" quotePrefix="0" xfId="0">
      <alignment horizontal="center" vertical="center" wrapText="1"/>
    </xf>
    <xf numFmtId="0" fontId="15" fillId="13" borderId="0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center" vertical="center" wrapText="1"/>
    </xf>
    <xf numFmtId="0" fontId="15" fillId="12" borderId="0" applyAlignment="1" pivotButton="0" quotePrefix="0" xfId="0">
      <alignment horizontal="center" vertical="center" wrapText="1"/>
    </xf>
    <xf numFmtId="0" fontId="12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카테고리별 투자 역량 비교</a:t>
            </a:r>
          </a:p>
        </rich>
      </tx>
    </title>
    <plotArea>
      <radarChart>
        <radarStyle val="filled"/>
        <ser>
          <idx val="0"/>
          <order val="0"/>
          <tx>
            <strRef>
              <f>'종합 스코어카드'!B36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스코어카드'!$B$37:$B$41</f>
            </numRef>
          </val>
        </ser>
        <ser>
          <idx val="1"/>
          <order val="1"/>
          <tx>
            <strRef>
              <f>'종합 스코어카드'!C36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스코어카드'!$C$37:$C$41</f>
            </numRef>
          </val>
        </ser>
        <ser>
          <idx val="2"/>
          <order val="2"/>
          <tx>
            <strRef>
              <f>'종합 스코어카드'!D36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스코어카드'!$D$37:$D$41</f>
            </numRef>
          </val>
        </ser>
        <ser>
          <idx val="3"/>
          <order val="3"/>
          <tx>
            <strRef>
              <f>'종합 스코어카드'!E36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스코어카드'!$E$37:$E$41</f>
            </numRef>
          </val>
        </ser>
        <ser>
          <idx val="4"/>
          <order val="4"/>
          <tx>
            <strRef>
              <f>'종합 스코어카드'!F36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스코어카드'!$F$37:$F$41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재건축 진행률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'재건축 진행현황'!B18</f>
            </strRef>
          </tx>
          <spPr>
            <a:ln>
              <a:prstDash val="solid"/>
            </a:ln>
          </spPr>
          <cat>
            <numRef>
              <f>'재건축 진행현황'!$A$19:$A$23</f>
            </numRef>
          </cat>
          <val>
            <numRef>
              <f>'재건축 진행현황'!$B$19:$B$23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진행률(%)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매매가 추이 (전용 84m², 억원)</a:t>
            </a:r>
          </a:p>
        </rich>
      </tx>
    </title>
    <plotArea>
      <lineChart>
        <grouping val="standard"/>
        <ser>
          <idx val="0"/>
          <order val="0"/>
          <tx>
            <strRef>
              <f>'시세 및 가격분석'!B25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가격분석'!$A$26:$A$29</f>
            </numRef>
          </cat>
          <val>
            <numRef>
              <f>'시세 및 가격분석'!$B$26:$B$29</f>
            </numRef>
          </val>
        </ser>
        <ser>
          <idx val="1"/>
          <order val="1"/>
          <tx>
            <strRef>
              <f>'시세 및 가격분석'!C25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가격분석'!$A$26:$A$29</f>
            </numRef>
          </cat>
          <val>
            <numRef>
              <f>'시세 및 가격분석'!$C$26:$C$29</f>
            </numRef>
          </val>
        </ser>
        <ser>
          <idx val="2"/>
          <order val="2"/>
          <tx>
            <strRef>
              <f>'시세 및 가격분석'!D25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가격분석'!$A$26:$A$29</f>
            </numRef>
          </cat>
          <val>
            <numRef>
              <f>'시세 및 가격분석'!$D$26:$D$29</f>
            </numRef>
          </val>
        </ser>
        <ser>
          <idx val="3"/>
          <order val="3"/>
          <tx>
            <strRef>
              <f>'시세 및 가격분석'!E25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가격분석'!$A$26:$A$29</f>
            </numRef>
          </cat>
          <val>
            <numRef>
              <f>'시세 및 가격분석'!$E$26:$E$29</f>
            </numRef>
          </val>
        </ser>
        <ser>
          <idx val="4"/>
          <order val="4"/>
          <tx>
            <strRef>
              <f>'시세 및 가격분석'!F25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가격분석'!$A$26:$A$29</f>
            </numRef>
          </cat>
          <val>
            <numRef>
              <f>'시세 및 가격분석'!$F$26:$F$29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매매가(억원)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시나리오별 ROI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'수익성 시뮬레이션'!B34</f>
            </strRef>
          </tx>
          <spPr>
            <a:ln>
              <a:prstDash val="solid"/>
            </a:ln>
          </spPr>
          <cat>
            <numRef>
              <f>'수익성 시뮬레이션'!$A$35:$A$39</f>
            </numRef>
          </cat>
          <val>
            <numRef>
              <f>'수익성 시뮬레이션'!$B$35:$B$39</f>
            </numRef>
          </val>
        </ser>
        <ser>
          <idx val="1"/>
          <order val="1"/>
          <tx>
            <strRef>
              <f>'수익성 시뮬레이션'!C34</f>
            </strRef>
          </tx>
          <spPr>
            <a:ln>
              <a:prstDash val="solid"/>
            </a:ln>
          </spPr>
          <cat>
            <numRef>
              <f>'수익성 시뮬레이션'!$A$35:$A$39</f>
            </numRef>
          </cat>
          <val>
            <numRef>
              <f>'수익성 시뮬레이션'!$C$35:$C$39</f>
            </numRef>
          </val>
        </ser>
        <ser>
          <idx val="2"/>
          <order val="2"/>
          <tx>
            <strRef>
              <f>'수익성 시뮬레이션'!D34</f>
            </strRef>
          </tx>
          <spPr>
            <a:ln>
              <a:prstDash val="solid"/>
            </a:ln>
          </spPr>
          <cat>
            <numRef>
              <f>'수익성 시뮬레이션'!$A$35:$A$39</f>
            </numRef>
          </cat>
          <val>
            <numRef>
              <f>'수익성 시뮬레이션'!$D$35:$D$39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17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30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40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30" customWidth="1" min="8" max="8"/>
  </cols>
  <sheetData>
    <row r="1" ht="36" customHeight="1">
      <c r="A1" s="1" t="inlineStr">
        <is>
          <t>잠실 재건축 다차원 투자 스코어카드</t>
        </is>
      </c>
    </row>
    <row r="3" ht="28" customHeight="1">
      <c r="A3" s="2" t="inlineStr">
        <is>
          <t>평가 팩터</t>
        </is>
      </c>
      <c r="B3" s="2" t="inlineStr">
        <is>
          <t>가중치(%)</t>
        </is>
      </c>
      <c r="C3" s="2" t="inlineStr">
        <is>
          <t>잠실주공5단지</t>
        </is>
      </c>
      <c r="D3" s="2" t="inlineStr">
        <is>
          <t>장미1·2차</t>
        </is>
      </c>
      <c r="E3" s="2" t="inlineStr">
        <is>
          <t>장미3차</t>
        </is>
      </c>
      <c r="F3" s="2" t="inlineStr">
        <is>
          <t>우성1·2·3차</t>
        </is>
      </c>
      <c r="G3" s="2" t="inlineStr">
        <is>
          <t>우성4차</t>
        </is>
      </c>
      <c r="H3" s="2" t="inlineStr">
        <is>
          <t>비고</t>
        </is>
      </c>
    </row>
    <row r="4">
      <c r="A4" s="3" t="inlineStr">
        <is>
          <t>입지 프리미엄</t>
        </is>
      </c>
      <c r="B4" s="3" t="n">
        <v>12</v>
      </c>
      <c r="C4" s="4" t="n">
        <v>10</v>
      </c>
      <c r="D4" s="4" t="n">
        <v>9</v>
      </c>
      <c r="E4" s="4" t="n">
        <v>8</v>
      </c>
      <c r="F4" s="4" t="n">
        <v>8</v>
      </c>
      <c r="G4" s="5" t="n">
        <v>7</v>
      </c>
      <c r="H4" s="3" t="inlineStr"/>
    </row>
    <row r="5">
      <c r="A5" s="6" t="inlineStr">
        <is>
          <t>역세권 접근성</t>
        </is>
      </c>
      <c r="B5" s="6" t="n">
        <v>8</v>
      </c>
      <c r="C5" s="4" t="n">
        <v>10</v>
      </c>
      <c r="D5" s="4" t="n">
        <v>8</v>
      </c>
      <c r="E5" s="5" t="n">
        <v>7</v>
      </c>
      <c r="F5" s="5" t="n">
        <v>7</v>
      </c>
      <c r="G5" s="5" t="n">
        <v>7</v>
      </c>
      <c r="H5" s="6" t="inlineStr"/>
    </row>
    <row r="6">
      <c r="A6" s="3" t="inlineStr">
        <is>
          <t>한강 조망</t>
        </is>
      </c>
      <c r="B6" s="3" t="n">
        <v>6</v>
      </c>
      <c r="C6" s="4" t="n">
        <v>9</v>
      </c>
      <c r="D6" s="4" t="n">
        <v>10</v>
      </c>
      <c r="E6" s="4" t="n">
        <v>9</v>
      </c>
      <c r="F6" s="5" t="n">
        <v>6</v>
      </c>
      <c r="G6" s="7" t="n">
        <v>5</v>
      </c>
      <c r="H6" s="3" t="inlineStr"/>
    </row>
    <row r="7">
      <c r="A7" s="6" t="inlineStr">
        <is>
          <t>학군(초중고)</t>
        </is>
      </c>
      <c r="B7" s="6" t="n">
        <v>5</v>
      </c>
      <c r="C7" s="4" t="n">
        <v>8</v>
      </c>
      <c r="D7" s="4" t="n">
        <v>8</v>
      </c>
      <c r="E7" s="4" t="n">
        <v>8</v>
      </c>
      <c r="F7" s="4" t="n">
        <v>8</v>
      </c>
      <c r="G7" s="4" t="n">
        <v>8</v>
      </c>
      <c r="H7" s="6" t="inlineStr"/>
    </row>
    <row r="8">
      <c r="A8" s="3" t="inlineStr">
        <is>
          <t>생활 인프라</t>
        </is>
      </c>
      <c r="B8" s="3" t="n">
        <v>5</v>
      </c>
      <c r="C8" s="4" t="n">
        <v>9</v>
      </c>
      <c r="D8" s="4" t="n">
        <v>8</v>
      </c>
      <c r="E8" s="4" t="n">
        <v>8</v>
      </c>
      <c r="F8" s="4" t="n">
        <v>8</v>
      </c>
      <c r="G8" s="4" t="n">
        <v>8</v>
      </c>
      <c r="H8" s="3" t="inlineStr"/>
    </row>
    <row r="9">
      <c r="A9" s="6" t="inlineStr">
        <is>
          <t>대형 개발호재</t>
        </is>
      </c>
      <c r="B9" s="6" t="n">
        <v>8</v>
      </c>
      <c r="C9" s="4" t="n">
        <v>10</v>
      </c>
      <c r="D9" s="4" t="n">
        <v>8</v>
      </c>
      <c r="E9" s="4" t="n">
        <v>8</v>
      </c>
      <c r="F9" s="5" t="n">
        <v>7</v>
      </c>
      <c r="G9" s="5" t="n">
        <v>7</v>
      </c>
      <c r="H9" s="6" t="inlineStr"/>
    </row>
    <row r="10">
      <c r="A10" s="3" t="inlineStr">
        <is>
          <t>재건축 진행도</t>
        </is>
      </c>
      <c r="B10" s="3" t="n">
        <v>10</v>
      </c>
      <c r="C10" s="5" t="n">
        <v>7</v>
      </c>
      <c r="D10" s="7" t="n">
        <v>5</v>
      </c>
      <c r="E10" s="7" t="n">
        <v>4</v>
      </c>
      <c r="F10" s="7" t="n">
        <v>5</v>
      </c>
      <c r="G10" s="4" t="n">
        <v>8</v>
      </c>
      <c r="H10" s="3" t="inlineStr"/>
    </row>
    <row r="11">
      <c r="A11" s="6" t="inlineStr">
        <is>
          <t>시공사 신뢰도</t>
        </is>
      </c>
      <c r="B11" s="6" t="n">
        <v>7</v>
      </c>
      <c r="C11" s="4" t="n">
        <v>10</v>
      </c>
      <c r="D11" s="7" t="n">
        <v>5</v>
      </c>
      <c r="E11" s="7" t="n">
        <v>5</v>
      </c>
      <c r="F11" s="7" t="n">
        <v>5</v>
      </c>
      <c r="G11" s="5" t="n">
        <v>7</v>
      </c>
      <c r="H11" s="6" t="inlineStr"/>
    </row>
    <row r="12">
      <c r="A12" s="3" t="inlineStr">
        <is>
          <t>브랜드 가치</t>
        </is>
      </c>
      <c r="B12" s="3" t="n">
        <v>5</v>
      </c>
      <c r="C12" s="4" t="n">
        <v>10</v>
      </c>
      <c r="D12" s="7" t="n">
        <v>5</v>
      </c>
      <c r="E12" s="7" t="n">
        <v>5</v>
      </c>
      <c r="F12" s="7" t="n">
        <v>5</v>
      </c>
      <c r="G12" s="5" t="n">
        <v>7</v>
      </c>
      <c r="H12" s="3" t="inlineStr"/>
    </row>
    <row r="13">
      <c r="A13" s="6" t="inlineStr">
        <is>
          <t>단지 규모</t>
        </is>
      </c>
      <c r="B13" s="6" t="n">
        <v>4</v>
      </c>
      <c r="C13" s="4" t="n">
        <v>10</v>
      </c>
      <c r="D13" s="4" t="n">
        <v>8</v>
      </c>
      <c r="E13" s="5" t="n">
        <v>7</v>
      </c>
      <c r="F13" s="5" t="n">
        <v>7</v>
      </c>
      <c r="G13" s="7" t="n">
        <v>4</v>
      </c>
      <c r="H13" s="6" t="inlineStr"/>
    </row>
    <row r="14">
      <c r="A14" s="3" t="inlineStr">
        <is>
          <t>가격 매력도</t>
        </is>
      </c>
      <c r="B14" s="3" t="n">
        <v>8</v>
      </c>
      <c r="C14" s="8" t="n">
        <v>3</v>
      </c>
      <c r="D14" s="5" t="n">
        <v>6</v>
      </c>
      <c r="E14" s="5" t="n">
        <v>7</v>
      </c>
      <c r="F14" s="5" t="n">
        <v>7</v>
      </c>
      <c r="G14" s="4" t="n">
        <v>8</v>
      </c>
      <c r="H14" s="3" t="inlineStr"/>
    </row>
    <row r="15">
      <c r="A15" s="6" t="inlineStr">
        <is>
          <t>전세가율(갭투자)</t>
        </is>
      </c>
      <c r="B15" s="6" t="n">
        <v>4</v>
      </c>
      <c r="C15" s="8" t="n">
        <v>2</v>
      </c>
      <c r="D15" s="7" t="n">
        <v>5</v>
      </c>
      <c r="E15" s="7" t="n">
        <v>5</v>
      </c>
      <c r="F15" s="7" t="n">
        <v>5</v>
      </c>
      <c r="G15" s="5" t="n">
        <v>6</v>
      </c>
      <c r="H15" s="6" t="inlineStr"/>
    </row>
    <row r="16">
      <c r="A16" s="3" t="inlineStr">
        <is>
          <t>기대 수익률</t>
        </is>
      </c>
      <c r="B16" s="3" t="n">
        <v>8</v>
      </c>
      <c r="C16" s="8" t="n">
        <v>3</v>
      </c>
      <c r="D16" s="5" t="n">
        <v>7</v>
      </c>
      <c r="E16" s="5" t="n">
        <v>7</v>
      </c>
      <c r="F16" s="5" t="n">
        <v>6</v>
      </c>
      <c r="G16" s="4" t="n">
        <v>8</v>
      </c>
      <c r="H16" s="3" t="inlineStr"/>
    </row>
    <row r="17">
      <c r="A17" s="6" t="inlineStr">
        <is>
          <t>유동성</t>
        </is>
      </c>
      <c r="B17" s="6" t="n">
        <v>3</v>
      </c>
      <c r="C17" s="7" t="n">
        <v>4</v>
      </c>
      <c r="D17" s="5" t="n">
        <v>6</v>
      </c>
      <c r="E17" s="7" t="n">
        <v>5</v>
      </c>
      <c r="F17" s="5" t="n">
        <v>6</v>
      </c>
      <c r="G17" s="5" t="n">
        <v>7</v>
      </c>
      <c r="H17" s="6" t="inlineStr"/>
    </row>
    <row r="18">
      <c r="A18" s="3" t="inlineStr">
        <is>
          <t>리스크 대비 안정성</t>
        </is>
      </c>
      <c r="B18" s="3" t="n">
        <v>7</v>
      </c>
      <c r="C18" s="5" t="n">
        <v>7</v>
      </c>
      <c r="D18" s="7" t="n">
        <v>5</v>
      </c>
      <c r="E18" s="7" t="n">
        <v>5</v>
      </c>
      <c r="F18" s="7" t="n">
        <v>5</v>
      </c>
      <c r="G18" s="5" t="n">
        <v>7</v>
      </c>
      <c r="H18" s="3" t="inlineStr"/>
    </row>
    <row r="19">
      <c r="A19" s="6" t="inlineStr">
        <is>
          <t>커뮤니티/조합 안정성</t>
        </is>
      </c>
      <c r="B19" s="6" t="n">
        <v>4</v>
      </c>
      <c r="C19" s="4" t="n">
        <v>8</v>
      </c>
      <c r="D19" s="5" t="n">
        <v>6</v>
      </c>
      <c r="E19" s="7" t="n">
        <v>5</v>
      </c>
      <c r="F19" s="5" t="n">
        <v>6</v>
      </c>
      <c r="G19" s="5" t="n">
        <v>7</v>
      </c>
      <c r="H19" s="6" t="inlineStr"/>
    </row>
    <row r="20">
      <c r="A20" s="3" t="inlineStr">
        <is>
          <t>정책 수혜 가능성</t>
        </is>
      </c>
      <c r="B20" s="3" t="n">
        <v>4</v>
      </c>
      <c r="C20" s="4" t="n">
        <v>8</v>
      </c>
      <c r="D20" s="5" t="n">
        <v>7</v>
      </c>
      <c r="E20" s="5" t="n">
        <v>7</v>
      </c>
      <c r="F20" s="5" t="n">
        <v>7</v>
      </c>
      <c r="G20" s="5" t="n">
        <v>7</v>
      </c>
      <c r="H20" s="3" t="inlineStr"/>
    </row>
    <row r="21">
      <c r="A21" s="6" t="inlineStr">
        <is>
          <t>미래 랜드마크 잠재력</t>
        </is>
      </c>
      <c r="B21" s="6" t="n">
        <v>5</v>
      </c>
      <c r="C21" s="4" t="n">
        <v>10</v>
      </c>
      <c r="D21" s="4" t="n">
        <v>8</v>
      </c>
      <c r="E21" s="5" t="n">
        <v>7</v>
      </c>
      <c r="F21" s="5" t="n">
        <v>6</v>
      </c>
      <c r="G21" s="7" t="n">
        <v>5</v>
      </c>
      <c r="H21" s="6" t="inlineStr"/>
    </row>
    <row r="22">
      <c r="A22" s="3" t="inlineStr">
        <is>
          <t>임대수익 잠재력</t>
        </is>
      </c>
      <c r="B22" s="3" t="n">
        <v>2</v>
      </c>
      <c r="C22" s="8" t="n">
        <v>3</v>
      </c>
      <c r="D22" s="7" t="n">
        <v>5</v>
      </c>
      <c r="E22" s="7" t="n">
        <v>5</v>
      </c>
      <c r="F22" s="7" t="n">
        <v>5</v>
      </c>
      <c r="G22" s="5" t="n">
        <v>6</v>
      </c>
      <c r="H22" s="3" t="inlineStr"/>
    </row>
    <row r="23">
      <c r="A23" s="6" t="inlineStr">
        <is>
          <t>총 보유비용 효율</t>
        </is>
      </c>
      <c r="B23" s="6" t="n">
        <v>3</v>
      </c>
      <c r="C23" s="8" t="n">
        <v>3</v>
      </c>
      <c r="D23" s="5" t="n">
        <v>6</v>
      </c>
      <c r="E23" s="5" t="n">
        <v>6</v>
      </c>
      <c r="F23" s="5" t="n">
        <v>7</v>
      </c>
      <c r="G23" s="4" t="n">
        <v>8</v>
      </c>
      <c r="H23" s="6" t="inlineStr"/>
    </row>
    <row r="25" ht="32" customHeight="1">
      <c r="A25" s="9" t="inlineStr">
        <is>
          <t>가중평균 종합점수</t>
        </is>
      </c>
      <c r="B25" s="10" t="inlineStr">
        <is>
          <t>100%</t>
        </is>
      </c>
      <c r="C25" s="11" t="n">
        <v>7.58</v>
      </c>
      <c r="D25" s="11" t="n">
        <v>6.91</v>
      </c>
      <c r="E25" s="11" t="n">
        <v>6.53</v>
      </c>
      <c r="F25" s="11" t="n">
        <v>6.37</v>
      </c>
      <c r="G25" s="11" t="n">
        <v>6.99</v>
      </c>
      <c r="H25" s="12" t="n"/>
    </row>
    <row r="26">
      <c r="A26" s="13" t="inlineStr">
        <is>
          <t>투자 추천 순위</t>
        </is>
      </c>
      <c r="B26" s="12" t="n"/>
      <c r="C26" s="14" t="inlineStr">
        <is>
          <t>1위</t>
        </is>
      </c>
      <c r="D26" s="15" t="inlineStr">
        <is>
          <t>3위</t>
        </is>
      </c>
      <c r="E26" s="16" t="inlineStr">
        <is>
          <t>4위</t>
        </is>
      </c>
      <c r="F26" s="16" t="inlineStr">
        <is>
          <t>5위</t>
        </is>
      </c>
      <c r="G26" s="17" t="inlineStr">
        <is>
          <t>2위</t>
        </is>
      </c>
      <c r="H26" s="12" t="n"/>
    </row>
    <row r="28" ht="28" customHeight="1">
      <c r="A28" s="2" t="inlineStr">
        <is>
          <t>카테고리</t>
        </is>
      </c>
      <c r="B28" s="2" t="inlineStr">
        <is>
          <t>가중치합</t>
        </is>
      </c>
      <c r="C28" s="2" t="inlineStr">
        <is>
          <t>잠실주공5단지</t>
        </is>
      </c>
      <c r="D28" s="2" t="inlineStr">
        <is>
          <t>장미1·2차</t>
        </is>
      </c>
      <c r="E28" s="2" t="inlineStr">
        <is>
          <t>장미3차</t>
        </is>
      </c>
      <c r="F28" s="2" t="inlineStr">
        <is>
          <t>우성1·2·3차</t>
        </is>
      </c>
      <c r="G28" s="2" t="inlineStr">
        <is>
          <t>우성4차</t>
        </is>
      </c>
      <c r="H28" s="2" t="inlineStr">
        <is>
          <t>설명</t>
        </is>
      </c>
    </row>
    <row r="29">
      <c r="A29" s="3" t="inlineStr">
        <is>
          <t>입지/환경</t>
        </is>
      </c>
      <c r="B29" s="3" t="n">
        <v>36</v>
      </c>
      <c r="C29" s="3" t="n">
        <v>9.4</v>
      </c>
      <c r="D29" s="3" t="n">
        <v>8.699999999999999</v>
      </c>
      <c r="E29" s="3" t="n">
        <v>7.9</v>
      </c>
      <c r="F29" s="3" t="n">
        <v>7.4</v>
      </c>
      <c r="G29" s="3" t="n">
        <v>6.9</v>
      </c>
      <c r="H29" s="3" t="inlineStr">
        <is>
          <t>입지 프리미엄, 역세권 접근성, 한강 조망, 학군(초중고), 생활 인프라</t>
        </is>
      </c>
    </row>
    <row r="30">
      <c r="A30" s="6" t="inlineStr">
        <is>
          <t>재건축 사업성</t>
        </is>
      </c>
      <c r="B30" s="6" t="n">
        <v>34</v>
      </c>
      <c r="C30" s="6" t="n">
        <v>9.1</v>
      </c>
      <c r="D30" s="6" t="n">
        <v>6.1</v>
      </c>
      <c r="E30" s="6" t="n">
        <v>5.6</v>
      </c>
      <c r="F30" s="6" t="n">
        <v>5.7</v>
      </c>
      <c r="G30" s="6" t="n">
        <v>6.9</v>
      </c>
      <c r="H30" s="6" t="inlineStr">
        <is>
          <t>재건축 진행도, 시공사 신뢰도, 브랜드 가치, 단지 규모, 대형 개발호재</t>
        </is>
      </c>
    </row>
    <row r="31">
      <c r="A31" s="3" t="inlineStr">
        <is>
          <t>투자 수익성</t>
        </is>
      </c>
      <c r="B31" s="3" t="n">
        <v>25</v>
      </c>
      <c r="C31" s="3" t="n">
        <v>3</v>
      </c>
      <c r="D31" s="3" t="n">
        <v>6.1</v>
      </c>
      <c r="E31" s="3" t="n">
        <v>6.3</v>
      </c>
      <c r="F31" s="3" t="n">
        <v>6.1</v>
      </c>
      <c r="G31" s="3" t="n">
        <v>7.4</v>
      </c>
      <c r="H31" s="3" t="inlineStr">
        <is>
          <t>가격 매력도, 전세가율(갭투자), 기대 수익률, 유동성, 임대수익 잠재력</t>
        </is>
      </c>
    </row>
    <row r="32">
      <c r="A32" s="6" t="inlineStr">
        <is>
          <t>안정성/리스크</t>
        </is>
      </c>
      <c r="B32" s="6" t="n">
        <v>18</v>
      </c>
      <c r="C32" s="6" t="n">
        <v>6.8</v>
      </c>
      <c r="D32" s="6" t="n">
        <v>5.8</v>
      </c>
      <c r="E32" s="6" t="n">
        <v>5.6</v>
      </c>
      <c r="F32" s="6" t="n">
        <v>6</v>
      </c>
      <c r="G32" s="6" t="n">
        <v>7.2</v>
      </c>
      <c r="H32" s="6" t="inlineStr">
        <is>
          <t>리스크 대비 안정성, 커뮤니티/조합 안정성, 정책 수혜 가능성, 총 보유비용 효율</t>
        </is>
      </c>
    </row>
    <row r="33">
      <c r="A33" s="3" t="inlineStr">
        <is>
          <t>미래 가치</t>
        </is>
      </c>
      <c r="B33" s="3" t="n">
        <v>5</v>
      </c>
      <c r="C33" s="3" t="n">
        <v>10</v>
      </c>
      <c r="D33" s="3" t="n">
        <v>8</v>
      </c>
      <c r="E33" s="3" t="n">
        <v>7</v>
      </c>
      <c r="F33" s="3" t="n">
        <v>6</v>
      </c>
      <c r="G33" s="3" t="n">
        <v>5</v>
      </c>
      <c r="H33" s="3" t="inlineStr">
        <is>
          <t>미래 랜드마크 잠재력</t>
        </is>
      </c>
    </row>
    <row r="36">
      <c r="A36" s="18" t="inlineStr">
        <is>
          <t>카테고리</t>
        </is>
      </c>
      <c r="B36" s="18" t="inlineStr">
        <is>
          <t>잠실주공5단지</t>
        </is>
      </c>
      <c r="C36" s="18" t="inlineStr">
        <is>
          <t>장미1·2차</t>
        </is>
      </c>
      <c r="D36" s="18" t="inlineStr">
        <is>
          <t>장미3차</t>
        </is>
      </c>
      <c r="E36" s="18" t="inlineStr">
        <is>
          <t>우성1·2·3차</t>
        </is>
      </c>
      <c r="F36" s="18" t="inlineStr">
        <is>
          <t>우성4차</t>
        </is>
      </c>
    </row>
    <row r="37">
      <c r="A37" t="inlineStr">
        <is>
          <t>입지/환경</t>
        </is>
      </c>
      <c r="B37" t="n">
        <v>9.4</v>
      </c>
      <c r="C37" t="n">
        <v>8.699999999999999</v>
      </c>
      <c r="D37" t="n">
        <v>7.9</v>
      </c>
      <c r="E37" t="n">
        <v>7.4</v>
      </c>
      <c r="F37" t="n">
        <v>6.9</v>
      </c>
    </row>
    <row r="38">
      <c r="A38" t="inlineStr">
        <is>
          <t>재건축 사업성</t>
        </is>
      </c>
      <c r="B38" t="n">
        <v>9.1</v>
      </c>
      <c r="C38" t="n">
        <v>6.1</v>
      </c>
      <c r="D38" t="n">
        <v>5.6</v>
      </c>
      <c r="E38" t="n">
        <v>5.7</v>
      </c>
      <c r="F38" t="n">
        <v>6.9</v>
      </c>
    </row>
    <row r="39">
      <c r="A39" t="inlineStr">
        <is>
          <t>투자 수익성</t>
        </is>
      </c>
      <c r="B39" t="n">
        <v>3</v>
      </c>
      <c r="C39" t="n">
        <v>6.1</v>
      </c>
      <c r="D39" t="n">
        <v>6.3</v>
      </c>
      <c r="E39" t="n">
        <v>6.1</v>
      </c>
      <c r="F39" t="n">
        <v>7.4</v>
      </c>
    </row>
    <row r="40">
      <c r="A40" t="inlineStr">
        <is>
          <t>안정성/리스크</t>
        </is>
      </c>
      <c r="B40" t="n">
        <v>6.8</v>
      </c>
      <c r="C40" t="n">
        <v>5.8</v>
      </c>
      <c r="D40" t="n">
        <v>5.6</v>
      </c>
      <c r="E40" t="n">
        <v>6</v>
      </c>
      <c r="F40" t="n">
        <v>7.2</v>
      </c>
    </row>
    <row r="41">
      <c r="A41" t="inlineStr">
        <is>
          <t>미래 가치</t>
        </is>
      </c>
      <c r="B41" t="n">
        <v>10</v>
      </c>
      <c r="C41" t="n">
        <v>8</v>
      </c>
      <c r="D41" t="n">
        <v>7</v>
      </c>
      <c r="E41" t="n">
        <v>6</v>
      </c>
      <c r="F41" t="n">
        <v>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6" customHeight="1">
      <c r="A1" s="1" t="inlineStr">
        <is>
          <t>잠실 재건축 단지 기본정보 비교</t>
        </is>
      </c>
    </row>
    <row r="3" ht="28" customHeight="1">
      <c r="A3" s="2" t="inlineStr">
        <is>
          <t>항목</t>
        </is>
      </c>
      <c r="B3" s="2" t="inlineStr">
        <is>
          <t>잠실주공5단지</t>
        </is>
      </c>
      <c r="C3" s="2" t="inlineStr">
        <is>
          <t>장미1·2차</t>
        </is>
      </c>
      <c r="D3" s="2" t="inlineStr">
        <is>
          <t>장미3차</t>
        </is>
      </c>
      <c r="E3" s="2" t="inlineStr">
        <is>
          <t>우성1·2·3차</t>
        </is>
      </c>
      <c r="F3" s="2" t="inlineStr">
        <is>
          <t>우성4차</t>
        </is>
      </c>
    </row>
    <row r="4">
      <c r="A4" s="3" t="inlineStr">
        <is>
          <t>준공년도</t>
        </is>
      </c>
      <c r="B4" s="3" t="n">
        <v>1978</v>
      </c>
      <c r="C4" s="3" t="n">
        <v>1979</v>
      </c>
      <c r="D4" s="3" t="n">
        <v>1983</v>
      </c>
      <c r="E4" s="3" t="n">
        <v>1981</v>
      </c>
      <c r="F4" s="3" t="n">
        <v>1982</v>
      </c>
    </row>
    <row r="5">
      <c r="A5" s="6" t="inlineStr">
        <is>
          <t>연식 (년)</t>
        </is>
      </c>
      <c r="B5" s="6" t="n">
        <v>48</v>
      </c>
      <c r="C5" s="6" t="n">
        <v>47</v>
      </c>
      <c r="D5" s="6" t="n">
        <v>43</v>
      </c>
      <c r="E5" s="6" t="n">
        <v>45</v>
      </c>
      <c r="F5" s="6" t="n">
        <v>44</v>
      </c>
    </row>
    <row r="6">
      <c r="A6" s="3" t="inlineStr">
        <is>
          <t>현재 세대수</t>
        </is>
      </c>
      <c r="B6" s="3" t="n">
        <v>3930</v>
      </c>
      <c r="C6" s="3" t="n">
        <v>2262</v>
      </c>
      <c r="D6" s="3" t="n">
        <v>900</v>
      </c>
      <c r="E6" s="3" t="n">
        <v>1842</v>
      </c>
      <c r="F6" s="3" t="n">
        <v>555</v>
      </c>
    </row>
    <row r="7">
      <c r="A7" s="6" t="inlineStr">
        <is>
          <t>동 수</t>
        </is>
      </c>
      <c r="B7" s="6" t="n">
        <v>30</v>
      </c>
      <c r="C7" s="6" t="n">
        <v>26</v>
      </c>
      <c r="D7" s="6" t="n">
        <v>10</v>
      </c>
      <c r="E7" s="6" t="n">
        <v>20</v>
      </c>
      <c r="F7" s="6" t="n">
        <v>7</v>
      </c>
    </row>
    <row r="8">
      <c r="A8" s="3" t="inlineStr">
        <is>
          <t>최고층</t>
        </is>
      </c>
      <c r="B8" s="3" t="n">
        <v>15</v>
      </c>
      <c r="C8" s="3" t="n">
        <v>15</v>
      </c>
      <c r="D8" s="3" t="n">
        <v>15</v>
      </c>
      <c r="E8" s="3" t="n">
        <v>15</v>
      </c>
      <c r="F8" s="3" t="n">
        <v>15</v>
      </c>
    </row>
    <row r="9">
      <c r="A9" s="6" t="inlineStr">
        <is>
          <t>전용면적(m²)</t>
        </is>
      </c>
      <c r="B9" s="6" t="inlineStr">
        <is>
          <t>76~84</t>
        </is>
      </c>
      <c r="C9" s="6" t="inlineStr">
        <is>
          <t>71~82</t>
        </is>
      </c>
      <c r="D9" s="6" t="inlineStr">
        <is>
          <t>69~84</t>
        </is>
      </c>
      <c r="E9" s="6" t="inlineStr">
        <is>
          <t>59~121</t>
        </is>
      </c>
      <c r="F9" s="6" t="inlineStr">
        <is>
          <t>59~84</t>
        </is>
      </c>
    </row>
    <row r="10">
      <c r="A10" s="3" t="inlineStr">
        <is>
          <t>주소</t>
        </is>
      </c>
      <c r="B10" s="3" t="inlineStr">
        <is>
          <t>잠실동 40</t>
        </is>
      </c>
      <c r="C10" s="3" t="inlineStr">
        <is>
          <t>잠실동 16-5</t>
        </is>
      </c>
      <c r="D10" s="3" t="inlineStr">
        <is>
          <t>잠실동 221</t>
        </is>
      </c>
      <c r="E10" s="3" t="inlineStr">
        <is>
          <t>잠실동 22</t>
        </is>
      </c>
      <c r="F10" s="3" t="inlineStr">
        <is>
          <t>잠실동 19</t>
        </is>
      </c>
    </row>
    <row r="11">
      <c r="A11" s="6" t="inlineStr">
        <is>
          <t>기존 용적률(%)</t>
        </is>
      </c>
      <c r="B11" s="6" t="n">
        <v>169</v>
      </c>
      <c r="C11" s="6" t="n">
        <v>179</v>
      </c>
      <c r="D11" s="6" t="n">
        <v>185</v>
      </c>
      <c r="E11" s="6" t="n">
        <v>174</v>
      </c>
      <c r="F11" s="6" t="n">
        <v>168</v>
      </c>
    </row>
    <row r="12">
      <c r="A12" s="19" t="inlineStr">
        <is>
          <t>─ 재건축 후 ─</t>
        </is>
      </c>
      <c r="B12" s="19" t="inlineStr">
        <is>
          <t>──────</t>
        </is>
      </c>
      <c r="C12" s="19" t="inlineStr">
        <is>
          <t>──────</t>
        </is>
      </c>
      <c r="D12" s="19" t="inlineStr">
        <is>
          <t>──────</t>
        </is>
      </c>
      <c r="E12" s="19" t="inlineStr">
        <is>
          <t>──────</t>
        </is>
      </c>
      <c r="F12" s="19" t="inlineStr">
        <is>
          <t>──────</t>
        </is>
      </c>
    </row>
    <row r="13">
      <c r="A13" s="6" t="inlineStr">
        <is>
          <t>재건축 세대수</t>
        </is>
      </c>
      <c r="B13" s="6" t="n">
        <v>6491</v>
      </c>
      <c r="C13" s="6" t="n">
        <v>5165</v>
      </c>
      <c r="D13" s="6" t="n">
        <v>5165</v>
      </c>
      <c r="E13" s="6" t="n">
        <v>2680</v>
      </c>
      <c r="F13" s="6" t="n">
        <v>825</v>
      </c>
    </row>
    <row r="14">
      <c r="A14" s="3" t="inlineStr">
        <is>
          <t>재건축 최고층</t>
        </is>
      </c>
      <c r="B14" s="3" t="n">
        <v>70</v>
      </c>
      <c r="C14" s="3" t="n">
        <v>50</v>
      </c>
      <c r="D14" s="3" t="n">
        <v>50</v>
      </c>
      <c r="E14" s="3" t="n">
        <v>49</v>
      </c>
      <c r="F14" s="3" t="n">
        <v>32</v>
      </c>
    </row>
    <row r="15">
      <c r="A15" s="6" t="inlineStr">
        <is>
          <t>계획 용적률(%)</t>
        </is>
      </c>
      <c r="B15" s="6" t="n">
        <v>390</v>
      </c>
      <c r="C15" s="6" t="n">
        <v>360</v>
      </c>
      <c r="D15" s="6" t="n">
        <v>360</v>
      </c>
      <c r="E15" s="6" t="n">
        <v>350</v>
      </c>
      <c r="F15" s="6" t="n">
        <v>299</v>
      </c>
    </row>
    <row r="16">
      <c r="A16" s="3" t="inlineStr">
        <is>
          <t>용적률 증가(%p)</t>
        </is>
      </c>
      <c r="B16" s="3" t="n">
        <v>221</v>
      </c>
      <c r="C16" s="3" t="n">
        <v>181</v>
      </c>
      <c r="D16" s="3" t="n">
        <v>175</v>
      </c>
      <c r="E16" s="3" t="n">
        <v>176</v>
      </c>
      <c r="F16" s="3" t="n">
        <v>131</v>
      </c>
    </row>
    <row r="17">
      <c r="A17" s="6" t="inlineStr">
        <is>
          <t>세대수 증가율</t>
        </is>
      </c>
      <c r="B17" s="6" t="inlineStr">
        <is>
          <t>65%</t>
        </is>
      </c>
      <c r="C17" s="6" t="inlineStr">
        <is>
          <t>128%</t>
        </is>
      </c>
      <c r="D17" s="6" t="inlineStr">
        <is>
          <t>474%</t>
        </is>
      </c>
      <c r="E17" s="6" t="inlineStr">
        <is>
          <t>45%</t>
        </is>
      </c>
      <c r="F17" s="6" t="inlineStr">
        <is>
          <t>49%</t>
        </is>
      </c>
    </row>
    <row r="18">
      <c r="A18" s="3" t="inlineStr">
        <is>
          <t>시공사</t>
        </is>
      </c>
      <c r="B18" s="3" t="inlineStr">
        <is>
          <t>삼성물산+GS건설+현대산업개발</t>
        </is>
      </c>
      <c r="C18" s="3" t="inlineStr">
        <is>
          <t>미선정</t>
        </is>
      </c>
      <c r="D18" s="3" t="inlineStr">
        <is>
          <t>미선정 (장미통합)</t>
        </is>
      </c>
      <c r="E18" s="3" t="inlineStr">
        <is>
          <t>미선정 (시공사 총회 예정)</t>
        </is>
      </c>
      <c r="F18" s="3" t="inlineStr">
        <is>
          <t>DL이앤씨</t>
        </is>
      </c>
    </row>
    <row r="19">
      <c r="A19" s="6" t="inlineStr">
        <is>
          <t>브랜드</t>
        </is>
      </c>
      <c r="B19" s="6" t="inlineStr">
        <is>
          <t>래미안+자이+아이파크</t>
        </is>
      </c>
      <c r="C19" s="6" t="inlineStr">
        <is>
          <t>미정</t>
        </is>
      </c>
      <c r="D19" s="6" t="inlineStr">
        <is>
          <t>미정</t>
        </is>
      </c>
      <c r="E19" s="6" t="inlineStr">
        <is>
          <t>미정</t>
        </is>
      </c>
      <c r="F19" s="6" t="inlineStr">
        <is>
          <t>아크로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6" customHeight="1">
      <c r="A1" s="1" t="inlineStr">
        <is>
          <t>재건축 단계별 진행현황 비교</t>
        </is>
      </c>
    </row>
    <row r="3" ht="28" customHeight="1">
      <c r="A3" s="2" t="inlineStr">
        <is>
          <t>항목</t>
        </is>
      </c>
      <c r="B3" s="2" t="inlineStr">
        <is>
          <t>잠실주공5단지</t>
        </is>
      </c>
      <c r="C3" s="2" t="inlineStr">
        <is>
          <t>장미1·2차</t>
        </is>
      </c>
      <c r="D3" s="2" t="inlineStr">
        <is>
          <t>장미3차</t>
        </is>
      </c>
      <c r="E3" s="2" t="inlineStr">
        <is>
          <t>우성1·2·3차</t>
        </is>
      </c>
      <c r="F3" s="2" t="inlineStr">
        <is>
          <t>우성4차</t>
        </is>
      </c>
    </row>
    <row r="4">
      <c r="A4" s="3" t="inlineStr">
        <is>
          <t>단계</t>
        </is>
      </c>
      <c r="B4" s="3" t="inlineStr">
        <is>
          <t>사업시행계획인가 신청</t>
        </is>
      </c>
      <c r="C4" s="3" t="inlineStr">
        <is>
          <t>사업시행인가 진행중</t>
        </is>
      </c>
      <c r="D4" s="3" t="inlineStr">
        <is>
          <t>장미통합 사업시행인가 진행중</t>
        </is>
      </c>
      <c r="E4" s="3" t="inlineStr">
        <is>
          <t>사업시행인가 직전</t>
        </is>
      </c>
      <c r="F4" s="3" t="inlineStr">
        <is>
          <t>관리처분인가 준비중</t>
        </is>
      </c>
    </row>
    <row r="5">
      <c r="A5" s="6" t="inlineStr">
        <is>
          <t>진행률</t>
        </is>
      </c>
      <c r="B5" s="5" t="inlineStr">
        <is>
          <t>65%</t>
        </is>
      </c>
      <c r="C5" s="7" t="inlineStr">
        <is>
          <t>45%</t>
        </is>
      </c>
      <c r="D5" s="7" t="inlineStr">
        <is>
          <t>40%</t>
        </is>
      </c>
      <c r="E5" s="5" t="inlineStr">
        <is>
          <t>50%</t>
        </is>
      </c>
      <c r="F5" s="4" t="inlineStr">
        <is>
          <t>70%</t>
        </is>
      </c>
    </row>
    <row r="6">
      <c r="A6" s="3" t="inlineStr">
        <is>
          <t>착수일</t>
        </is>
      </c>
      <c r="B6" s="3" t="inlineStr">
        <is>
          <t>2019.10</t>
        </is>
      </c>
      <c r="C6" s="3" t="inlineStr">
        <is>
          <t>2020.06</t>
        </is>
      </c>
      <c r="D6" s="3" t="inlineStr">
        <is>
          <t>2020.06</t>
        </is>
      </c>
      <c r="E6" s="3" t="inlineStr">
        <is>
          <t>2022.03</t>
        </is>
      </c>
      <c r="F6" s="3" t="inlineStr">
        <is>
          <t>2023.11</t>
        </is>
      </c>
    </row>
    <row r="7">
      <c r="A7" s="6" t="inlineStr">
        <is>
          <t>경과기간</t>
        </is>
      </c>
      <c r="B7" s="6" t="inlineStr">
        <is>
          <t>6년4개월</t>
        </is>
      </c>
      <c r="C7" s="6" t="inlineStr">
        <is>
          <t>5년8개월</t>
        </is>
      </c>
      <c r="D7" s="6" t="inlineStr">
        <is>
          <t>5년8개월</t>
        </is>
      </c>
      <c r="E7" s="6" t="inlineStr">
        <is>
          <t>3년11개월</t>
        </is>
      </c>
      <c r="F7" s="6" t="inlineStr">
        <is>
          <t>2년3개월</t>
        </is>
      </c>
    </row>
    <row r="8">
      <c r="A8" s="3" t="inlineStr">
        <is>
          <t>안전진단</t>
        </is>
      </c>
      <c r="B8" s="3" t="inlineStr">
        <is>
          <t>완료(D등급)</t>
        </is>
      </c>
      <c r="C8" s="3" t="inlineStr">
        <is>
          <t>완료(D등급)</t>
        </is>
      </c>
      <c r="D8" s="3" t="inlineStr">
        <is>
          <t>완료</t>
        </is>
      </c>
      <c r="E8" s="3" t="inlineStr">
        <is>
          <t>완료(D등급)</t>
        </is>
      </c>
      <c r="F8" s="3" t="inlineStr">
        <is>
          <t>완료</t>
        </is>
      </c>
    </row>
    <row r="9">
      <c r="A9" s="6" t="inlineStr">
        <is>
          <t>정비구역지정</t>
        </is>
      </c>
      <c r="B9" s="6" t="inlineStr">
        <is>
          <t>완료</t>
        </is>
      </c>
      <c r="C9" s="6" t="inlineStr">
        <is>
          <t>완료</t>
        </is>
      </c>
      <c r="D9" s="6" t="inlineStr">
        <is>
          <t>완료</t>
        </is>
      </c>
      <c r="E9" s="6" t="inlineStr">
        <is>
          <t>완료</t>
        </is>
      </c>
      <c r="F9" s="6" t="inlineStr">
        <is>
          <t>완료</t>
        </is>
      </c>
    </row>
    <row r="10">
      <c r="A10" s="3" t="inlineStr">
        <is>
          <t>조합설립인가</t>
        </is>
      </c>
      <c r="B10" s="3" t="inlineStr">
        <is>
          <t>완료(2020.12)</t>
        </is>
      </c>
      <c r="C10" s="3" t="inlineStr">
        <is>
          <t>완료</t>
        </is>
      </c>
      <c r="D10" s="3" t="inlineStr">
        <is>
          <t>완료</t>
        </is>
      </c>
      <c r="E10" s="3" t="inlineStr">
        <is>
          <t>완료</t>
        </is>
      </c>
      <c r="F10" s="3" t="inlineStr">
        <is>
          <t>완료</t>
        </is>
      </c>
    </row>
    <row r="11">
      <c r="A11" s="6" t="inlineStr">
        <is>
          <t>사업시행인가</t>
        </is>
      </c>
      <c r="B11" s="6" t="inlineStr">
        <is>
          <t>신청완료(2025)</t>
        </is>
      </c>
      <c r="C11" s="6" t="inlineStr">
        <is>
          <t>진행중</t>
        </is>
      </c>
      <c r="D11" s="6" t="inlineStr">
        <is>
          <t>진행중(통합)</t>
        </is>
      </c>
      <c r="E11" s="6" t="inlineStr">
        <is>
          <t>직전(시공사 선정후)</t>
        </is>
      </c>
      <c r="F11" s="6" t="inlineStr">
        <is>
          <t>완료</t>
        </is>
      </c>
    </row>
    <row r="12">
      <c r="A12" s="3" t="inlineStr">
        <is>
          <t>관리처분인가</t>
        </is>
      </c>
      <c r="B12" s="3" t="inlineStr">
        <is>
          <t>미착수(2026말 예상)</t>
        </is>
      </c>
      <c r="C12" s="3" t="inlineStr">
        <is>
          <t>미착수</t>
        </is>
      </c>
      <c r="D12" s="3" t="inlineStr">
        <is>
          <t>미착수</t>
        </is>
      </c>
      <c r="E12" s="3" t="inlineStr">
        <is>
          <t>미착수</t>
        </is>
      </c>
      <c r="F12" s="3" t="inlineStr">
        <is>
          <t>준비중(2026상반기)</t>
        </is>
      </c>
    </row>
    <row r="13">
      <c r="A13" s="6" t="inlineStr">
        <is>
          <t>착공예정</t>
        </is>
      </c>
      <c r="B13" s="6" t="inlineStr">
        <is>
          <t>2027년</t>
        </is>
      </c>
      <c r="C13" s="6" t="inlineStr">
        <is>
          <t>2028~2029년</t>
        </is>
      </c>
      <c r="D13" s="6" t="inlineStr">
        <is>
          <t>2028~2029년</t>
        </is>
      </c>
      <c r="E13" s="6" t="inlineStr">
        <is>
          <t>2028년</t>
        </is>
      </c>
      <c r="F13" s="6" t="inlineStr">
        <is>
          <t>2026.09</t>
        </is>
      </c>
    </row>
    <row r="14">
      <c r="A14" s="3" t="inlineStr">
        <is>
          <t>준공예정</t>
        </is>
      </c>
      <c r="B14" s="3" t="inlineStr">
        <is>
          <t>2030~2031년</t>
        </is>
      </c>
      <c r="C14" s="3" t="inlineStr">
        <is>
          <t>2031~2032년</t>
        </is>
      </c>
      <c r="D14" s="3" t="inlineStr">
        <is>
          <t>2031~2032년</t>
        </is>
      </c>
      <c r="E14" s="3" t="inlineStr">
        <is>
          <t>2031~2032년</t>
        </is>
      </c>
      <c r="F14" s="3" t="inlineStr">
        <is>
          <t>2029년</t>
        </is>
      </c>
    </row>
    <row r="15">
      <c r="A15" s="6" t="inlineStr">
        <is>
          <t>이주예정</t>
        </is>
      </c>
      <c r="B15" s="6" t="inlineStr">
        <is>
          <t>2026말~2027초</t>
        </is>
      </c>
      <c r="C15" s="6" t="inlineStr">
        <is>
          <t>2028년</t>
        </is>
      </c>
      <c r="D15" s="6" t="inlineStr">
        <is>
          <t>2028년</t>
        </is>
      </c>
      <c r="E15" s="6" t="inlineStr">
        <is>
          <t>2027~2028년</t>
        </is>
      </c>
      <c r="F15" s="6" t="inlineStr">
        <is>
          <t>2026하반기</t>
        </is>
      </c>
    </row>
    <row r="18">
      <c r="A18" s="18" t="inlineStr">
        <is>
          <t>단지명</t>
        </is>
      </c>
      <c r="B18" s="18" t="inlineStr">
        <is>
          <t>진행률(%)</t>
        </is>
      </c>
    </row>
    <row r="19">
      <c r="A19" t="inlineStr">
        <is>
          <t>잠실주공5단지</t>
        </is>
      </c>
      <c r="B19" t="n">
        <v>65</v>
      </c>
    </row>
    <row r="20">
      <c r="A20" t="inlineStr">
        <is>
          <t>장미1·2차</t>
        </is>
      </c>
      <c r="B20" t="n">
        <v>45</v>
      </c>
    </row>
    <row r="21">
      <c r="A21" t="inlineStr">
        <is>
          <t>장미3차</t>
        </is>
      </c>
      <c r="B21" t="n">
        <v>40</v>
      </c>
    </row>
    <row r="22">
      <c r="A22" t="inlineStr">
        <is>
          <t>우성1·2·3차</t>
        </is>
      </c>
      <c r="B22" t="n">
        <v>50</v>
      </c>
    </row>
    <row r="23">
      <c r="A23" t="inlineStr">
        <is>
          <t>우성4차</t>
        </is>
      </c>
      <c r="B23" t="n">
        <v>70</v>
      </c>
    </row>
    <row r="26">
      <c r="A26" s="20" t="inlineStr">
        <is>
          <t>[참고] 서울 재건축 평균 소요기간</t>
        </is>
      </c>
    </row>
    <row r="27">
      <c r="A27" s="21" t="inlineStr">
        <is>
          <t>구역지정 → 사업시행인가</t>
        </is>
      </c>
      <c r="B27" s="21" t="inlineStr">
        <is>
          <t>2.8년</t>
        </is>
      </c>
    </row>
    <row r="28">
      <c r="A28" s="21" t="inlineStr">
        <is>
          <t>사업시행인가 → 관리처분인가</t>
        </is>
      </c>
      <c r="B28" s="21" t="inlineStr">
        <is>
          <t>2.3년</t>
        </is>
      </c>
    </row>
    <row r="29">
      <c r="A29" s="21" t="inlineStr">
        <is>
          <t>관리처분인가 → 착공</t>
        </is>
      </c>
      <c r="B29" s="21" t="inlineStr">
        <is>
          <t>1.9년</t>
        </is>
      </c>
    </row>
    <row r="30">
      <c r="A30" s="21" t="inlineStr">
        <is>
          <t>착공 → 준공</t>
        </is>
      </c>
      <c r="B30" s="21" t="inlineStr">
        <is>
          <t>3.6년</t>
        </is>
      </c>
    </row>
    <row r="31">
      <c r="A31" s="21" t="inlineStr">
        <is>
          <t>전체 (구역지정~준공)</t>
        </is>
      </c>
      <c r="B31" s="21" t="inlineStr">
        <is>
          <t>평균 10.6년</t>
        </is>
      </c>
    </row>
    <row r="32">
      <c r="A32" s="21" t="inlineStr">
        <is>
          <t>갈등/분쟁 시</t>
        </is>
      </c>
      <c r="B32" s="21" t="inlineStr">
        <is>
          <t>15년 이상</t>
        </is>
      </c>
    </row>
  </sheetData>
  <mergeCells count="2">
    <mergeCell ref="A1:F1"/>
    <mergeCell ref="A26:D2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6" customHeight="1">
      <c r="A1" s="1" t="inlineStr">
        <is>
          <t>시세 및 가격 다차원 분석 (전용 84m² 기준, 억원)</t>
        </is>
      </c>
    </row>
    <row r="3" ht="28" customHeight="1">
      <c r="A3" s="2" t="inlineStr">
        <is>
          <t>항목</t>
        </is>
      </c>
      <c r="B3" s="2" t="inlineStr">
        <is>
          <t>잠실주공5단지</t>
        </is>
      </c>
      <c r="C3" s="2" t="inlineStr">
        <is>
          <t>장미1·2차</t>
        </is>
      </c>
      <c r="D3" s="2" t="inlineStr">
        <is>
          <t>장미3차</t>
        </is>
      </c>
      <c r="E3" s="2" t="inlineStr">
        <is>
          <t>우성1·2·3차</t>
        </is>
      </c>
      <c r="F3" s="2" t="inlineStr">
        <is>
          <t>우성4차</t>
        </is>
      </c>
    </row>
    <row r="4">
      <c r="A4" s="3" t="inlineStr">
        <is>
          <t>현재 매매가</t>
        </is>
      </c>
      <c r="B4" s="3" t="n">
        <v>45</v>
      </c>
      <c r="C4" s="3" t="n">
        <v>26.5</v>
      </c>
      <c r="D4" s="3" t="n">
        <v>25</v>
      </c>
      <c r="E4" s="3" t="n">
        <v>24</v>
      </c>
      <c r="F4" s="3" t="n">
        <v>22</v>
      </c>
    </row>
    <row r="5">
      <c r="A5" s="6" t="inlineStr">
        <is>
          <t>현재 전세가</t>
        </is>
      </c>
      <c r="B5" s="6" t="n">
        <v>12.5</v>
      </c>
      <c r="C5" s="6" t="n">
        <v>9</v>
      </c>
      <c r="D5" s="6" t="n">
        <v>8.5</v>
      </c>
      <c r="E5" s="6" t="n">
        <v>8</v>
      </c>
      <c r="F5" s="6" t="n">
        <v>7.5</v>
      </c>
    </row>
    <row r="6">
      <c r="A6" s="3" t="inlineStr">
        <is>
          <t>전세가율(%)</t>
        </is>
      </c>
      <c r="B6" s="3" t="n">
        <v>27.8</v>
      </c>
      <c r="C6" s="3" t="n">
        <v>34</v>
      </c>
      <c r="D6" s="3" t="n">
        <v>34</v>
      </c>
      <c r="E6" s="3" t="n">
        <v>33.3</v>
      </c>
      <c r="F6" s="3" t="n">
        <v>34.1</v>
      </c>
    </row>
    <row r="7">
      <c r="A7" s="6" t="inlineStr">
        <is>
          <t>현재 호가</t>
        </is>
      </c>
      <c r="B7" s="6" t="n">
        <v>47</v>
      </c>
      <c r="C7" s="6" t="n">
        <v>28</v>
      </c>
      <c r="D7" s="6" t="n">
        <v>26</v>
      </c>
      <c r="E7" s="6" t="n">
        <v>26</v>
      </c>
      <c r="F7" s="6" t="n">
        <v>24</v>
      </c>
    </row>
    <row r="8">
      <c r="A8" s="3" t="inlineStr">
        <is>
          <t>신고가</t>
        </is>
      </c>
      <c r="B8" s="3" t="n">
        <v>45.5</v>
      </c>
      <c r="C8" s="3" t="n">
        <v>26.5</v>
      </c>
      <c r="D8" s="3" t="n">
        <v>25</v>
      </c>
      <c r="E8" s="3" t="n">
        <v>25</v>
      </c>
      <c r="F8" s="3" t="n">
        <v>22.5</v>
      </c>
    </row>
    <row r="9">
      <c r="A9" s="6" t="inlineStr">
        <is>
          <t>최저가(1년내)</t>
        </is>
      </c>
      <c r="B9" s="6" t="n">
        <v>36</v>
      </c>
      <c r="C9" s="6" t="n">
        <v>20</v>
      </c>
      <c r="D9" s="6" t="n">
        <v>19</v>
      </c>
      <c r="E9" s="6" t="n">
        <v>18</v>
      </c>
      <c r="F9" s="6" t="n">
        <v>16.5</v>
      </c>
    </row>
    <row r="10">
      <c r="A10" s="3" t="inlineStr">
        <is>
          <t>1년전 매매가</t>
        </is>
      </c>
      <c r="B10" s="3" t="n">
        <v>38</v>
      </c>
      <c r="C10" s="3" t="n">
        <v>22</v>
      </c>
      <c r="D10" s="3" t="n">
        <v>21</v>
      </c>
      <c r="E10" s="3" t="n">
        <v>20</v>
      </c>
      <c r="F10" s="3" t="n">
        <v>18.5</v>
      </c>
    </row>
    <row r="11">
      <c r="A11" s="6" t="inlineStr">
        <is>
          <t>3년전 매매가</t>
        </is>
      </c>
      <c r="B11" s="6" t="n">
        <v>25</v>
      </c>
      <c r="C11" s="6" t="n">
        <v>16</v>
      </c>
      <c r="D11" s="6" t="n">
        <v>15.5</v>
      </c>
      <c r="E11" s="6" t="n">
        <v>14.5</v>
      </c>
      <c r="F11" s="6" t="n">
        <v>13</v>
      </c>
    </row>
    <row r="12">
      <c r="A12" s="3" t="inlineStr">
        <is>
          <t>5년전 매매가</t>
        </is>
      </c>
      <c r="B12" s="3" t="n">
        <v>20</v>
      </c>
      <c r="C12" s="3" t="n">
        <v>13</v>
      </c>
      <c r="D12" s="3" t="n">
        <v>12</v>
      </c>
      <c r="E12" s="3" t="n">
        <v>11</v>
      </c>
      <c r="F12" s="3" t="n">
        <v>10</v>
      </c>
    </row>
    <row r="13">
      <c r="A13" s="19" t="inlineStr">
        <is>
          <t>─ 분석 지표 ─</t>
        </is>
      </c>
      <c r="B13" s="19" t="inlineStr">
        <is>
          <t>──────</t>
        </is>
      </c>
      <c r="C13" s="19" t="inlineStr">
        <is>
          <t>──────</t>
        </is>
      </c>
      <c r="D13" s="19" t="inlineStr">
        <is>
          <t>──────</t>
        </is>
      </c>
      <c r="E13" s="19" t="inlineStr">
        <is>
          <t>──────</t>
        </is>
      </c>
      <c r="F13" s="19" t="inlineStr">
        <is>
          <t>──────</t>
        </is>
      </c>
    </row>
    <row r="14">
      <c r="A14" s="3" t="inlineStr">
        <is>
          <t>1년 상승률(%)</t>
        </is>
      </c>
      <c r="B14" s="3" t="n">
        <v>18.4</v>
      </c>
      <c r="C14" s="3" t="n">
        <v>20.5</v>
      </c>
      <c r="D14" s="3" t="n">
        <v>19</v>
      </c>
      <c r="E14" s="3" t="n">
        <v>20</v>
      </c>
      <c r="F14" s="3" t="n">
        <v>18.9</v>
      </c>
    </row>
    <row r="15">
      <c r="A15" s="6" t="inlineStr">
        <is>
          <t>3년 상승률(%)</t>
        </is>
      </c>
      <c r="B15" s="6" t="n">
        <v>80</v>
      </c>
      <c r="C15" s="6" t="n">
        <v>65.59999999999999</v>
      </c>
      <c r="D15" s="6" t="n">
        <v>61.3</v>
      </c>
      <c r="E15" s="6" t="n">
        <v>65.5</v>
      </c>
      <c r="F15" s="6" t="n">
        <v>69.2</v>
      </c>
    </row>
    <row r="16">
      <c r="A16" s="3" t="inlineStr">
        <is>
          <t>5년 상승률(%)</t>
        </is>
      </c>
      <c r="B16" s="3" t="n">
        <v>125</v>
      </c>
      <c r="C16" s="3" t="n">
        <v>103.8</v>
      </c>
      <c r="D16" s="3" t="n">
        <v>108.3</v>
      </c>
      <c r="E16" s="3" t="n">
        <v>118.2</v>
      </c>
      <c r="F16" s="3" t="n">
        <v>120</v>
      </c>
    </row>
    <row r="17">
      <c r="A17" s="6" t="inlineStr">
        <is>
          <t>연평균 상승률(5Y)(%)</t>
        </is>
      </c>
      <c r="B17" s="6" t="n">
        <v>17.6</v>
      </c>
      <c r="C17" s="6" t="n">
        <v>15.3</v>
      </c>
      <c r="D17" s="6" t="n">
        <v>15.8</v>
      </c>
      <c r="E17" s="6" t="n">
        <v>16.9</v>
      </c>
      <c r="F17" s="6" t="n">
        <v>17.1</v>
      </c>
    </row>
    <row r="18">
      <c r="A18" s="3" t="inlineStr">
        <is>
          <t>재건축 프리미엄(억)</t>
        </is>
      </c>
      <c r="B18" s="3" t="n">
        <v>15</v>
      </c>
      <c r="C18" s="3" t="n">
        <v>6.5</v>
      </c>
      <c r="D18" s="3" t="n">
        <v>5</v>
      </c>
      <c r="E18" s="3" t="n">
        <v>4</v>
      </c>
      <c r="F18" s="3" t="n">
        <v>2</v>
      </c>
    </row>
    <row r="19">
      <c r="A19" s="6" t="inlineStr">
        <is>
          <t>인근 신축 대비(%)</t>
        </is>
      </c>
      <c r="B19" s="6" t="n">
        <v>-50</v>
      </c>
      <c r="C19" s="6" t="n">
        <v>-13</v>
      </c>
      <c r="D19" s="6" t="n">
        <v>-17</v>
      </c>
      <c r="E19" s="6" t="n">
        <v>-20</v>
      </c>
      <c r="F19" s="6" t="n">
        <v>-27</v>
      </c>
    </row>
    <row r="20">
      <c r="A20" s="3" t="inlineStr">
        <is>
          <t>갭(매매-전세)(억)</t>
        </is>
      </c>
      <c r="B20" s="3" t="n">
        <v>32.5</v>
      </c>
      <c r="C20" s="3" t="n">
        <v>17.5</v>
      </c>
      <c r="D20" s="3" t="n">
        <v>16.5</v>
      </c>
      <c r="E20" s="3" t="n">
        <v>16</v>
      </c>
      <c r="F20" s="3" t="n">
        <v>14.5</v>
      </c>
    </row>
    <row r="21">
      <c r="A21" s="6" t="inlineStr">
        <is>
          <t>갭투자 필요자금(억)</t>
        </is>
      </c>
      <c r="B21" s="6" t="n">
        <v>32.5</v>
      </c>
      <c r="C21" s="6" t="n">
        <v>17.5</v>
      </c>
      <c r="D21" s="6" t="n">
        <v>16.5</v>
      </c>
      <c r="E21" s="6" t="n">
        <v>16</v>
      </c>
      <c r="F21" s="6" t="n">
        <v>14.5</v>
      </c>
    </row>
    <row r="22">
      <c r="A22" s="3" t="inlineStr">
        <is>
          <t>호가-실거래 괴리(%)</t>
        </is>
      </c>
      <c r="B22" s="3" t="n">
        <v>4.4</v>
      </c>
      <c r="C22" s="3" t="n">
        <v>5.7</v>
      </c>
      <c r="D22" s="3" t="n">
        <v>4</v>
      </c>
      <c r="E22" s="3" t="n">
        <v>8.300000000000001</v>
      </c>
      <c r="F22" s="3" t="n">
        <v>9.1</v>
      </c>
    </row>
    <row r="25">
      <c r="A25" s="18" t="inlineStr">
        <is>
          <t>시점</t>
        </is>
      </c>
      <c r="B25" s="18" t="inlineStr">
        <is>
          <t>잠실주공5단지</t>
        </is>
      </c>
      <c r="C25" s="18" t="inlineStr">
        <is>
          <t>장미1·2차</t>
        </is>
      </c>
      <c r="D25" s="18" t="inlineStr">
        <is>
          <t>장미3차</t>
        </is>
      </c>
      <c r="E25" s="18" t="inlineStr">
        <is>
          <t>우성1·2·3차</t>
        </is>
      </c>
      <c r="F25" s="18" t="inlineStr">
        <is>
          <t>우성4차</t>
        </is>
      </c>
    </row>
    <row r="26">
      <c r="A26" t="inlineStr">
        <is>
          <t>5년전</t>
        </is>
      </c>
      <c r="B26" t="n">
        <v>20</v>
      </c>
      <c r="C26" t="n">
        <v>13</v>
      </c>
      <c r="D26" t="n">
        <v>12</v>
      </c>
      <c r="E26" t="n">
        <v>11</v>
      </c>
      <c r="F26" t="n">
        <v>10</v>
      </c>
    </row>
    <row r="27">
      <c r="A27" t="inlineStr">
        <is>
          <t>3년전</t>
        </is>
      </c>
      <c r="B27" t="n">
        <v>25</v>
      </c>
      <c r="C27" t="n">
        <v>16</v>
      </c>
      <c r="D27" t="n">
        <v>15.5</v>
      </c>
      <c r="E27" t="n">
        <v>14.5</v>
      </c>
      <c r="F27" t="n">
        <v>13</v>
      </c>
    </row>
    <row r="28">
      <c r="A28" t="inlineStr">
        <is>
          <t>1년전</t>
        </is>
      </c>
      <c r="B28" t="n">
        <v>38</v>
      </c>
      <c r="C28" t="n">
        <v>22</v>
      </c>
      <c r="D28" t="n">
        <v>21</v>
      </c>
      <c r="E28" t="n">
        <v>20</v>
      </c>
      <c r="F28" t="n">
        <v>18.5</v>
      </c>
    </row>
    <row r="29">
      <c r="A29" t="inlineStr">
        <is>
          <t>현재</t>
        </is>
      </c>
      <c r="B29" t="n">
        <v>45</v>
      </c>
      <c r="C29" t="n">
        <v>26.5</v>
      </c>
      <c r="D29" t="n">
        <v>25</v>
      </c>
      <c r="E29" t="n">
        <v>24</v>
      </c>
      <c r="F29" t="n">
        <v>22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6" customHeight="1">
      <c r="A1" s="1" t="inlineStr">
        <is>
          <t>단지별 투자 수익성 시뮬레이션 (전용 84m², 억원)</t>
        </is>
      </c>
    </row>
    <row r="3" ht="28" customHeight="1">
      <c r="A3" s="2" t="inlineStr">
        <is>
          <t>항목</t>
        </is>
      </c>
      <c r="B3" s="2" t="inlineStr">
        <is>
          <t>잠실주공5단지</t>
        </is>
      </c>
      <c r="C3" s="2" t="inlineStr">
        <is>
          <t>장미1·2차</t>
        </is>
      </c>
      <c r="D3" s="2" t="inlineStr">
        <is>
          <t>장미3차</t>
        </is>
      </c>
      <c r="E3" s="2" t="inlineStr">
        <is>
          <t>우성1·2·3차</t>
        </is>
      </c>
      <c r="F3" s="2" t="inlineStr">
        <is>
          <t>우성4차</t>
        </is>
      </c>
    </row>
    <row r="4">
      <c r="A4" s="19" t="inlineStr">
        <is>
          <t>── 매입비용 ──</t>
        </is>
      </c>
      <c r="B4" s="19" t="inlineStr">
        <is>
          <t>──────</t>
        </is>
      </c>
      <c r="C4" s="19" t="inlineStr">
        <is>
          <t>──────</t>
        </is>
      </c>
      <c r="D4" s="19" t="inlineStr">
        <is>
          <t>──────</t>
        </is>
      </c>
      <c r="E4" s="19" t="inlineStr">
        <is>
          <t>──────</t>
        </is>
      </c>
      <c r="F4" s="19" t="inlineStr">
        <is>
          <t>──────</t>
        </is>
      </c>
    </row>
    <row r="5">
      <c r="A5" s="6" t="inlineStr">
        <is>
          <t>매입가</t>
        </is>
      </c>
      <c r="B5" s="6" t="n">
        <v>45</v>
      </c>
      <c r="C5" s="6" t="n">
        <v>26.5</v>
      </c>
      <c r="D5" s="6" t="n">
        <v>25</v>
      </c>
      <c r="E5" s="6" t="n">
        <v>24</v>
      </c>
      <c r="F5" s="6" t="n">
        <v>22</v>
      </c>
    </row>
    <row r="6">
      <c r="A6" s="3" t="inlineStr">
        <is>
          <t>취득세 (3.0%)</t>
        </is>
      </c>
      <c r="B6" s="3" t="n">
        <v>1.35</v>
      </c>
      <c r="C6" s="3" t="n">
        <v>0.795</v>
      </c>
      <c r="D6" s="3" t="n">
        <v>0.75</v>
      </c>
      <c r="E6" s="3" t="n">
        <v>0.72</v>
      </c>
      <c r="F6" s="3" t="n">
        <v>0.66</v>
      </c>
    </row>
    <row r="7">
      <c r="A7" s="6" t="inlineStr">
        <is>
          <t>중개수수료 (0.5%)</t>
        </is>
      </c>
      <c r="B7" s="6" t="n">
        <v>0.225</v>
      </c>
      <c r="C7" s="6" t="n">
        <v>0.133</v>
      </c>
      <c r="D7" s="6" t="n">
        <v>0.125</v>
      </c>
      <c r="E7" s="6" t="n">
        <v>0.12</v>
      </c>
      <c r="F7" s="6" t="n">
        <v>0.11</v>
      </c>
    </row>
    <row r="8">
      <c r="A8" s="3" t="inlineStr">
        <is>
          <t>매입 총비용</t>
        </is>
      </c>
      <c r="B8" s="3" t="n">
        <v>46.58</v>
      </c>
      <c r="C8" s="3" t="n">
        <v>27.43</v>
      </c>
      <c r="D8" s="3" t="n">
        <v>25.88</v>
      </c>
      <c r="E8" s="3" t="n">
        <v>24.84</v>
      </c>
      <c r="F8" s="3" t="n">
        <v>22.77</v>
      </c>
    </row>
    <row r="9">
      <c r="A9" s="19" t="inlineStr">
        <is>
          <t>── 보유비용 ──</t>
        </is>
      </c>
      <c r="B9" s="19" t="inlineStr">
        <is>
          <t>──────</t>
        </is>
      </c>
      <c r="C9" s="19" t="inlineStr">
        <is>
          <t>──────</t>
        </is>
      </c>
      <c r="D9" s="19" t="inlineStr">
        <is>
          <t>──────</t>
        </is>
      </c>
      <c r="E9" s="19" t="inlineStr">
        <is>
          <t>──────</t>
        </is>
      </c>
      <c r="F9" s="19" t="inlineStr">
        <is>
          <t>──────</t>
        </is>
      </c>
    </row>
    <row r="10">
      <c r="A10" s="3" t="inlineStr">
        <is>
          <t>추정 분담금 (하한)</t>
        </is>
      </c>
      <c r="B10" s="3" t="n">
        <v>2</v>
      </c>
      <c r="C10" s="3" t="n">
        <v>1.5</v>
      </c>
      <c r="D10" s="3" t="n">
        <v>1.5</v>
      </c>
      <c r="E10" s="3" t="n">
        <v>1.5</v>
      </c>
      <c r="F10" s="3" t="n">
        <v>1</v>
      </c>
    </row>
    <row r="11">
      <c r="A11" s="6" t="inlineStr">
        <is>
          <t>추정 분담금 (중간)</t>
        </is>
      </c>
      <c r="B11" s="6" t="n">
        <v>3.5</v>
      </c>
      <c r="C11" s="6" t="n">
        <v>2.5</v>
      </c>
      <c r="D11" s="6" t="n">
        <v>2.5</v>
      </c>
      <c r="E11" s="6" t="n">
        <v>2.5</v>
      </c>
      <c r="F11" s="6" t="n">
        <v>2</v>
      </c>
    </row>
    <row r="12">
      <c r="A12" s="3" t="inlineStr">
        <is>
          <t>추정 분담금 (상한)</t>
        </is>
      </c>
      <c r="B12" s="3" t="n">
        <v>5</v>
      </c>
      <c r="C12" s="3" t="n">
        <v>4</v>
      </c>
      <c r="D12" s="3" t="n">
        <v>4</v>
      </c>
      <c r="E12" s="3" t="n">
        <v>4</v>
      </c>
      <c r="F12" s="3" t="n">
        <v>3</v>
      </c>
    </row>
    <row r="13">
      <c r="A13" s="6" t="inlineStr">
        <is>
          <t>이주기간 (년)</t>
        </is>
      </c>
      <c r="B13" s="6" t="n">
        <v>4.5</v>
      </c>
      <c r="C13" s="6" t="n">
        <v>4</v>
      </c>
      <c r="D13" s="6" t="n">
        <v>4</v>
      </c>
      <c r="E13" s="6" t="n">
        <v>4</v>
      </c>
      <c r="F13" s="6" t="n">
        <v>3</v>
      </c>
    </row>
    <row r="14">
      <c r="A14" s="3" t="inlineStr">
        <is>
          <t>이주 전세비용(억)</t>
        </is>
      </c>
      <c r="B14" s="3" t="n">
        <v>10</v>
      </c>
      <c r="C14" s="3" t="n">
        <v>9</v>
      </c>
      <c r="D14" s="3" t="n">
        <v>8.5</v>
      </c>
      <c r="E14" s="3" t="n">
        <v>8</v>
      </c>
      <c r="F14" s="3" t="n">
        <v>7.5</v>
      </c>
    </row>
    <row r="15">
      <c r="A15" s="6" t="inlineStr">
        <is>
          <t>전세 기회비용/년(억)</t>
        </is>
      </c>
      <c r="B15" s="6" t="n">
        <v>0.35</v>
      </c>
      <c r="C15" s="6" t="n">
        <v>0.315</v>
      </c>
      <c r="D15" s="6" t="n">
        <v>0.298</v>
      </c>
      <c r="E15" s="6" t="n">
        <v>0.28</v>
      </c>
      <c r="F15" s="6" t="n">
        <v>0.263</v>
      </c>
    </row>
    <row r="16">
      <c r="A16" s="3" t="inlineStr">
        <is>
          <t>보유세/년(억)</t>
        </is>
      </c>
      <c r="B16" s="3" t="n">
        <v>0.32</v>
      </c>
      <c r="C16" s="3" t="n">
        <v>0.18</v>
      </c>
      <c r="D16" s="3" t="n">
        <v>0.16</v>
      </c>
      <c r="E16" s="3" t="n">
        <v>0.15</v>
      </c>
      <c r="F16" s="3" t="n">
        <v>0.13</v>
      </c>
    </row>
    <row r="17">
      <c r="A17" s="6" t="inlineStr">
        <is>
          <t>대출이자/년(20억기준)</t>
        </is>
      </c>
      <c r="B17" s="6" t="n">
        <v>0.8</v>
      </c>
      <c r="C17" s="6" t="n">
        <v>0.8</v>
      </c>
      <c r="D17" s="6" t="n">
        <v>0.8</v>
      </c>
      <c r="E17" s="6" t="n">
        <v>0.8</v>
      </c>
      <c r="F17" s="6" t="n">
        <v>0.8</v>
      </c>
    </row>
    <row r="18">
      <c r="A18" s="3" t="inlineStr">
        <is>
          <t>보유기간 총비용(억)</t>
        </is>
      </c>
      <c r="B18" s="3" t="n">
        <v>10.1</v>
      </c>
      <c r="C18" s="3" t="n">
        <v>7.7</v>
      </c>
      <c r="D18" s="3" t="n">
        <v>7.5</v>
      </c>
      <c r="E18" s="3" t="n">
        <v>7.4</v>
      </c>
      <c r="F18" s="3" t="n">
        <v>5.6</v>
      </c>
    </row>
    <row r="19">
      <c r="A19" s="19" t="inlineStr">
        <is>
          <t>── 예상 수익 ──</t>
        </is>
      </c>
      <c r="B19" s="19" t="inlineStr">
        <is>
          <t>──────</t>
        </is>
      </c>
      <c r="C19" s="19" t="inlineStr">
        <is>
          <t>──────</t>
        </is>
      </c>
      <c r="D19" s="19" t="inlineStr">
        <is>
          <t>──────</t>
        </is>
      </c>
      <c r="E19" s="19" t="inlineStr">
        <is>
          <t>──────</t>
        </is>
      </c>
      <c r="F19" s="19" t="inlineStr">
        <is>
          <t>──────</t>
        </is>
      </c>
    </row>
    <row r="20">
      <c r="A20" s="3" t="inlineStr">
        <is>
          <t>신축 취득세(2.96%)(억)</t>
        </is>
      </c>
      <c r="B20" s="3" t="n">
        <v>1.54</v>
      </c>
      <c r="C20" s="3" t="n">
        <v>1.24</v>
      </c>
      <c r="D20" s="3" t="n">
        <v>1.18</v>
      </c>
      <c r="E20" s="3" t="n">
        <v>1.18</v>
      </c>
      <c r="F20" s="3" t="n">
        <v>1.04</v>
      </c>
    </row>
    <row r="21">
      <c r="A21" s="6" t="inlineStr">
        <is>
          <t>예상 신축가 (비관)</t>
        </is>
      </c>
      <c r="B21" s="6" t="n">
        <v>48</v>
      </c>
      <c r="C21" s="6" t="n">
        <v>38</v>
      </c>
      <c r="D21" s="6" t="n">
        <v>36</v>
      </c>
      <c r="E21" s="6" t="n">
        <v>35</v>
      </c>
      <c r="F21" s="6" t="n">
        <v>30</v>
      </c>
    </row>
    <row r="22">
      <c r="A22" s="3" t="inlineStr">
        <is>
          <t>예상 신축가 (중립)</t>
        </is>
      </c>
      <c r="B22" s="3" t="n">
        <v>52</v>
      </c>
      <c r="C22" s="3" t="n">
        <v>42</v>
      </c>
      <c r="D22" s="3" t="n">
        <v>40</v>
      </c>
      <c r="E22" s="3" t="n">
        <v>40</v>
      </c>
      <c r="F22" s="3" t="n">
        <v>35</v>
      </c>
    </row>
    <row r="23">
      <c r="A23" s="6" t="inlineStr">
        <is>
          <t>예상 신축가 (낙관)</t>
        </is>
      </c>
      <c r="B23" s="6" t="n">
        <v>58</v>
      </c>
      <c r="C23" s="6" t="n">
        <v>48</v>
      </c>
      <c r="D23" s="6" t="n">
        <v>46</v>
      </c>
      <c r="E23" s="6" t="n">
        <v>45</v>
      </c>
      <c r="F23" s="6" t="n">
        <v>40</v>
      </c>
    </row>
    <row r="24">
      <c r="A24" s="3" t="inlineStr">
        <is>
          <t>준공 예정연도</t>
        </is>
      </c>
      <c r="B24" s="3" t="n">
        <v>2031</v>
      </c>
      <c r="C24" s="3" t="n">
        <v>2032</v>
      </c>
      <c r="D24" s="3" t="n">
        <v>2032</v>
      </c>
      <c r="E24" s="3" t="n">
        <v>2032</v>
      </c>
      <c r="F24" s="3" t="n">
        <v>2029</v>
      </c>
    </row>
    <row r="25">
      <c r="A25" s="19" t="inlineStr">
        <is>
          <t>── 수익률 계산 ──</t>
        </is>
      </c>
      <c r="B25" s="19" t="inlineStr">
        <is>
          <t>──────</t>
        </is>
      </c>
      <c r="C25" s="19" t="inlineStr">
        <is>
          <t>──────</t>
        </is>
      </c>
      <c r="D25" s="19" t="inlineStr">
        <is>
          <t>──────</t>
        </is>
      </c>
      <c r="E25" s="19" t="inlineStr">
        <is>
          <t>──────</t>
        </is>
      </c>
      <c r="F25" s="19" t="inlineStr">
        <is>
          <t>──────</t>
        </is>
      </c>
    </row>
    <row r="26">
      <c r="A26" s="3" t="inlineStr">
        <is>
          <t>총투자비(중립)</t>
        </is>
      </c>
      <c r="B26" s="3" t="n">
        <v>58.2</v>
      </c>
      <c r="C26" s="3" t="n">
        <v>36.4</v>
      </c>
      <c r="D26" s="3" t="n">
        <v>34.6</v>
      </c>
      <c r="E26" s="3" t="n">
        <v>33.4</v>
      </c>
      <c r="F26" s="3" t="n">
        <v>29.4</v>
      </c>
    </row>
    <row r="27">
      <c r="A27" s="6" t="inlineStr">
        <is>
          <t>예상차익(비관)(억)</t>
        </is>
      </c>
      <c r="B27" s="6" t="n">
        <v>-10.1</v>
      </c>
      <c r="C27" s="6" t="n">
        <v>1.8</v>
      </c>
      <c r="D27" s="6" t="n">
        <v>1.5</v>
      </c>
      <c r="E27" s="6" t="n">
        <v>1.7</v>
      </c>
      <c r="F27" s="6" t="n">
        <v>0.8</v>
      </c>
    </row>
    <row r="28">
      <c r="A28" s="3" t="inlineStr">
        <is>
          <t>예상차익(중립)(억)</t>
        </is>
      </c>
      <c r="B28" s="3" t="n">
        <v>-6.2</v>
      </c>
      <c r="C28" s="3" t="n">
        <v>5.6</v>
      </c>
      <c r="D28" s="3" t="n">
        <v>5.4</v>
      </c>
      <c r="E28" s="3" t="n">
        <v>6.6</v>
      </c>
      <c r="F28" s="3" t="n">
        <v>5.6</v>
      </c>
    </row>
    <row r="29">
      <c r="A29" s="6" t="inlineStr">
        <is>
          <t>예상차익(낙관)(억)</t>
        </is>
      </c>
      <c r="B29" s="6" t="n">
        <v>-0.4</v>
      </c>
      <c r="C29" s="6" t="n">
        <v>11.5</v>
      </c>
      <c r="D29" s="6" t="n">
        <v>11.2</v>
      </c>
      <c r="E29" s="6" t="n">
        <v>11.4</v>
      </c>
      <c r="F29" s="6" t="n">
        <v>10.5</v>
      </c>
    </row>
    <row r="30">
      <c r="A30" s="3" t="inlineStr">
        <is>
          <t>ROI(중립)(%)</t>
        </is>
      </c>
      <c r="B30" s="3" t="n">
        <v>-13.4</v>
      </c>
      <c r="C30" s="3" t="n">
        <v>20.6</v>
      </c>
      <c r="D30" s="3" t="n">
        <v>20.9</v>
      </c>
      <c r="E30" s="3" t="n">
        <v>26.4</v>
      </c>
      <c r="F30" s="3" t="n">
        <v>24.7</v>
      </c>
    </row>
    <row r="31">
      <c r="A31" s="6" t="inlineStr">
        <is>
          <t>연환산 ROI(%)</t>
        </is>
      </c>
      <c r="B31" s="6" t="n">
        <v>-2</v>
      </c>
      <c r="C31" s="6" t="n">
        <v>2.9</v>
      </c>
      <c r="D31" s="6" t="n">
        <v>2.9</v>
      </c>
      <c r="E31" s="6" t="n">
        <v>3.6</v>
      </c>
      <c r="F31" s="6" t="n">
        <v>4.5</v>
      </c>
    </row>
    <row r="34">
      <c r="A34" s="18" t="inlineStr">
        <is>
          <t>단지명</t>
        </is>
      </c>
      <c r="B34" s="18" t="inlineStr">
        <is>
          <t>비관ROI</t>
        </is>
      </c>
      <c r="C34" s="18" t="inlineStr">
        <is>
          <t>중립ROI</t>
        </is>
      </c>
      <c r="D34" s="18" t="inlineStr">
        <is>
          <t>낙관ROI</t>
        </is>
      </c>
    </row>
    <row r="35">
      <c r="A35" t="inlineStr">
        <is>
          <t>잠실주공5단지</t>
        </is>
      </c>
      <c r="B35" t="n">
        <v>-21.7</v>
      </c>
      <c r="C35" t="n">
        <v>-13.4</v>
      </c>
      <c r="D35" t="n">
        <v>-0.9</v>
      </c>
    </row>
    <row r="36">
      <c r="A36" t="inlineStr">
        <is>
          <t>장미1·2차</t>
        </is>
      </c>
      <c r="B36" t="n">
        <v>6.4</v>
      </c>
      <c r="C36" t="n">
        <v>20.6</v>
      </c>
      <c r="D36" t="n">
        <v>41.8</v>
      </c>
    </row>
    <row r="37">
      <c r="A37" t="inlineStr">
        <is>
          <t>장미3차</t>
        </is>
      </c>
      <c r="B37" t="n">
        <v>5.9</v>
      </c>
      <c r="C37" t="n">
        <v>20.9</v>
      </c>
      <c r="D37" t="n">
        <v>43.4</v>
      </c>
    </row>
    <row r="38">
      <c r="A38" t="inlineStr">
        <is>
          <t>우성1·2·3차</t>
        </is>
      </c>
      <c r="B38" t="n">
        <v>6.9</v>
      </c>
      <c r="C38" t="n">
        <v>26.4</v>
      </c>
      <c r="D38" t="n">
        <v>45.9</v>
      </c>
    </row>
    <row r="39">
      <c r="A39" t="inlineStr">
        <is>
          <t>우성4차</t>
        </is>
      </c>
      <c r="B39" t="n">
        <v>3.4</v>
      </c>
      <c r="C39" t="n">
        <v>24.7</v>
      </c>
      <c r="D39" t="n">
        <v>46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 ht="36" customHeight="1">
      <c r="A1" s="1" t="inlineStr">
        <is>
          <t>재건축 투자 비용 구조 상세 분석</t>
        </is>
      </c>
    </row>
    <row r="3">
      <c r="A3" s="22" t="inlineStr">
        <is>
          <t>[1] 취득세 세율 구조</t>
        </is>
      </c>
    </row>
    <row r="4" ht="28" customHeight="1">
      <c r="A4" s="2" t="inlineStr">
        <is>
          <t>구분</t>
        </is>
      </c>
      <c r="B4" s="2" t="inlineStr">
        <is>
          <t>세율</t>
        </is>
      </c>
      <c r="C4" s="2" t="inlineStr">
        <is>
          <t>조건</t>
        </is>
      </c>
      <c r="D4" s="2" t="inlineStr">
        <is>
          <t>비고</t>
        </is>
      </c>
    </row>
    <row r="5">
      <c r="A5" s="3" t="inlineStr">
        <is>
          <t>1세대 1주택 (6억이하)</t>
        </is>
      </c>
      <c r="B5" s="3" t="inlineStr">
        <is>
          <t>1.0%</t>
        </is>
      </c>
      <c r="C5" s="3" t="inlineStr">
        <is>
          <t>비규제지역</t>
        </is>
      </c>
      <c r="D5" s="3" t="inlineStr">
        <is>
          <t>지방교육세 별도</t>
        </is>
      </c>
    </row>
    <row r="6">
      <c r="A6" s="6" t="inlineStr">
        <is>
          <t>1세대 1주택 (6~9억)</t>
        </is>
      </c>
      <c r="B6" s="6" t="inlineStr">
        <is>
          <t>1.0~3.0%</t>
        </is>
      </c>
      <c r="C6" s="6" t="inlineStr">
        <is>
          <t>비규제지역</t>
        </is>
      </c>
      <c r="D6" s="6" t="inlineStr">
        <is>
          <t>구간별 차등</t>
        </is>
      </c>
    </row>
    <row r="7">
      <c r="A7" s="3" t="inlineStr">
        <is>
          <t>1세대 1주택 (9억초과)</t>
        </is>
      </c>
      <c r="B7" s="3" t="inlineStr">
        <is>
          <t>3.0%</t>
        </is>
      </c>
      <c r="C7" s="3" t="inlineStr">
        <is>
          <t>비규제지역</t>
        </is>
      </c>
      <c r="D7" s="3" t="inlineStr"/>
    </row>
    <row r="8">
      <c r="A8" s="6" t="inlineStr">
        <is>
          <t>2주택자 (조정대상지역)</t>
        </is>
      </c>
      <c r="B8" s="6" t="inlineStr">
        <is>
          <t>8.0%</t>
        </is>
      </c>
      <c r="C8" s="6" t="inlineStr">
        <is>
          <t>규제지역 중과</t>
        </is>
      </c>
      <c r="D8" s="6" t="inlineStr">
        <is>
          <t>지방교육세+농특세 별도</t>
        </is>
      </c>
    </row>
    <row r="9">
      <c r="A9" s="3" t="inlineStr">
        <is>
          <t>3주택 이상</t>
        </is>
      </c>
      <c r="B9" s="3" t="inlineStr">
        <is>
          <t>12.0%</t>
        </is>
      </c>
      <c r="C9" s="3" t="inlineStr">
        <is>
          <t>규제지역 중과</t>
        </is>
      </c>
      <c r="D9" s="3" t="inlineStr"/>
    </row>
    <row r="10">
      <c r="A10" s="6" t="inlineStr">
        <is>
          <t>멸실 후 토지 매수</t>
        </is>
      </c>
      <c r="B10" s="6" t="inlineStr">
        <is>
          <t>4.6%</t>
        </is>
      </c>
      <c r="C10" s="6" t="inlineStr">
        <is>
          <t>토지 취득세율</t>
        </is>
      </c>
      <c r="D10" s="6" t="inlineStr">
        <is>
          <t>주택 아닌 토지로 분류</t>
        </is>
      </c>
    </row>
    <row r="11">
      <c r="A11" s="3" t="inlineStr">
        <is>
          <t>조합원 원시취득 (85m²이하)</t>
        </is>
      </c>
      <c r="B11" s="3" t="inlineStr">
        <is>
          <t>2.8%</t>
        </is>
      </c>
      <c r="C11" s="3" t="inlineStr">
        <is>
          <t>신축 취득시</t>
        </is>
      </c>
      <c r="D11" s="3" t="inlineStr">
        <is>
          <t>+지방교육세 0.16%=2.96%</t>
        </is>
      </c>
    </row>
    <row r="12">
      <c r="A12" s="6" t="inlineStr">
        <is>
          <t>조합원 원시취득 (85m²초과)</t>
        </is>
      </c>
      <c r="B12" s="6" t="inlineStr">
        <is>
          <t>2.8%</t>
        </is>
      </c>
      <c r="C12" s="6" t="inlineStr">
        <is>
          <t>신축 취득시</t>
        </is>
      </c>
      <c r="D12" s="6" t="inlineStr">
        <is>
          <t>+농특세 0.2%=3.16%</t>
        </is>
      </c>
    </row>
    <row r="14">
      <c r="A14" s="22" t="inlineStr">
        <is>
          <t>[2] 중개수수료 요율</t>
        </is>
      </c>
    </row>
    <row r="15" ht="28" customHeight="1">
      <c r="A15" s="2" t="inlineStr">
        <is>
          <t>거래금액</t>
        </is>
      </c>
      <c r="B15" s="2" t="inlineStr">
        <is>
          <t>상한 요율</t>
        </is>
      </c>
      <c r="C15" s="2" t="inlineStr">
        <is>
          <t>예시 (40억 기준)</t>
        </is>
      </c>
      <c r="D15" s="2" t="inlineStr">
        <is>
          <t>실제 협의선</t>
        </is>
      </c>
    </row>
    <row r="16">
      <c r="A16" s="3" t="inlineStr">
        <is>
          <t>5억 미만</t>
        </is>
      </c>
      <c r="B16" s="3" t="inlineStr">
        <is>
          <t>0.6%</t>
        </is>
      </c>
      <c r="C16" s="3" t="inlineStr">
        <is>
          <t>-</t>
        </is>
      </c>
      <c r="D16" s="3" t="inlineStr">
        <is>
          <t>-</t>
        </is>
      </c>
    </row>
    <row r="17">
      <c r="A17" s="6" t="inlineStr">
        <is>
          <t>5~9억</t>
        </is>
      </c>
      <c r="B17" s="6" t="inlineStr">
        <is>
          <t>0.5%</t>
        </is>
      </c>
      <c r="C17" s="6" t="inlineStr">
        <is>
          <t>-</t>
        </is>
      </c>
      <c r="D17" s="6" t="inlineStr">
        <is>
          <t>-</t>
        </is>
      </c>
    </row>
    <row r="18">
      <c r="A18" s="3" t="inlineStr">
        <is>
          <t>9~12억</t>
        </is>
      </c>
      <c r="B18" s="3" t="inlineStr">
        <is>
          <t>0.5%</t>
        </is>
      </c>
      <c r="C18" s="3" t="inlineStr">
        <is>
          <t>-</t>
        </is>
      </c>
      <c r="D18" s="3" t="inlineStr">
        <is>
          <t>-</t>
        </is>
      </c>
    </row>
    <row r="19">
      <c r="A19" s="6" t="inlineStr">
        <is>
          <t>12~15억</t>
        </is>
      </c>
      <c r="B19" s="6" t="inlineStr">
        <is>
          <t>0.6%</t>
        </is>
      </c>
      <c r="C19" s="6" t="inlineStr">
        <is>
          <t>-</t>
        </is>
      </c>
      <c r="D19" s="6" t="inlineStr">
        <is>
          <t>-</t>
        </is>
      </c>
    </row>
    <row r="20">
      <c r="A20" s="3" t="inlineStr">
        <is>
          <t>15억 이상</t>
        </is>
      </c>
      <c r="B20" s="3" t="inlineStr">
        <is>
          <t>0.7%</t>
        </is>
      </c>
      <c r="C20" s="3" t="inlineStr">
        <is>
          <t>최대 2,800만원</t>
        </is>
      </c>
      <c r="D20" s="3" t="inlineStr">
        <is>
          <t>0.4~0.5% 협의</t>
        </is>
      </c>
    </row>
    <row r="22">
      <c r="A22" s="22" t="inlineStr">
        <is>
          <t>[3] 보유세 (1세대1주택, 공시가 30억 가정)</t>
        </is>
      </c>
    </row>
    <row r="23" ht="28" customHeight="1">
      <c r="A23" s="2" t="inlineStr">
        <is>
          <t>항목</t>
        </is>
      </c>
      <c r="B23" s="2" t="inlineStr">
        <is>
          <t>금액(만원/년)</t>
        </is>
      </c>
      <c r="C23" s="2" t="inlineStr">
        <is>
          <t>비고</t>
        </is>
      </c>
      <c r="D23" s="2" t="inlineStr">
        <is>
          <t>변동요인</t>
        </is>
      </c>
    </row>
    <row r="24">
      <c r="A24" s="3" t="inlineStr">
        <is>
          <t>재산세</t>
        </is>
      </c>
      <c r="B24" s="3" t="inlineStr">
        <is>
          <t>800~1,200</t>
        </is>
      </c>
      <c r="C24" s="3" t="inlineStr">
        <is>
          <t>공시가 기준</t>
        </is>
      </c>
      <c r="D24" s="3" t="inlineStr">
        <is>
          <t>공시가 변동</t>
        </is>
      </c>
    </row>
    <row r="25">
      <c r="A25" s="6" t="inlineStr">
        <is>
          <t>종합부동산세</t>
        </is>
      </c>
      <c r="B25" s="6" t="inlineStr">
        <is>
          <t>1,500~2,500</t>
        </is>
      </c>
      <c r="C25" s="6" t="inlineStr">
        <is>
          <t>1세대1주택 공제 12억</t>
        </is>
      </c>
      <c r="D25" s="6" t="inlineStr">
        <is>
          <t>공정시장가액비율</t>
        </is>
      </c>
    </row>
    <row r="26">
      <c r="A26" s="3" t="inlineStr">
        <is>
          <t>합계</t>
        </is>
      </c>
      <c r="B26" s="3" t="inlineStr">
        <is>
          <t>2,300~3,700</t>
        </is>
      </c>
      <c r="C26" s="3" t="inlineStr"/>
      <c r="D26" s="3" t="inlineStr">
        <is>
          <t>2026년 대폭 증가 예상</t>
        </is>
      </c>
    </row>
    <row r="27">
      <c r="A27" s="6" t="inlineStr">
        <is>
          <t>다주택시 종부세</t>
        </is>
      </c>
      <c r="B27" s="6" t="inlineStr">
        <is>
          <t>3,000~6,000+</t>
        </is>
      </c>
      <c r="C27" s="6" t="inlineStr">
        <is>
          <t>다주택 중과세율</t>
        </is>
      </c>
      <c r="D27" s="6" t="inlineStr">
        <is>
          <t>세 부담 상한 폐지</t>
        </is>
      </c>
    </row>
    <row r="29">
      <c r="A29" s="22" t="inlineStr">
        <is>
          <t>[4] 대출 금리 현황 (2026.02)</t>
        </is>
      </c>
    </row>
    <row r="30" ht="28" customHeight="1">
      <c r="A30" s="2" t="inlineStr">
        <is>
          <t>구분</t>
        </is>
      </c>
      <c r="B30" s="2" t="inlineStr">
        <is>
          <t>금리</t>
        </is>
      </c>
      <c r="C30" s="2" t="inlineStr">
        <is>
          <t>비고</t>
        </is>
      </c>
      <c r="D30" s="2" t="inlineStr">
        <is>
          <t>월이자(20억기준)</t>
        </is>
      </c>
    </row>
    <row r="31">
      <c r="A31" s="3" t="inlineStr">
        <is>
          <t>한국은행 기준금리</t>
        </is>
      </c>
      <c r="B31" s="3" t="inlineStr">
        <is>
          <t>2.50%</t>
        </is>
      </c>
      <c r="C31" s="3" t="inlineStr">
        <is>
          <t>2026.01 인하</t>
        </is>
      </c>
      <c r="D31" s="3" t="inlineStr">
        <is>
          <t>-</t>
        </is>
      </c>
    </row>
    <row r="32">
      <c r="A32" s="6" t="inlineStr">
        <is>
          <t>시중은행 변동금리</t>
        </is>
      </c>
      <c r="B32" s="6" t="inlineStr">
        <is>
          <t>3.8~4.3%</t>
        </is>
      </c>
      <c r="C32" s="6" t="inlineStr">
        <is>
          <t>주담대 기준</t>
        </is>
      </c>
      <c r="D32" s="6" t="inlineStr">
        <is>
          <t>약 633~717만</t>
        </is>
      </c>
    </row>
    <row r="33">
      <c r="A33" s="3" t="inlineStr">
        <is>
          <t>시중은행 고정금리</t>
        </is>
      </c>
      <c r="B33" s="3" t="inlineStr">
        <is>
          <t>4.0~4.5%</t>
        </is>
      </c>
      <c r="C33" s="3" t="inlineStr">
        <is>
          <t>주담대 기준</t>
        </is>
      </c>
      <c r="D33" s="3" t="inlineStr">
        <is>
          <t>약 667~750만</t>
        </is>
      </c>
    </row>
    <row r="34">
      <c r="A34" s="6" t="inlineStr">
        <is>
          <t>보금자리론</t>
        </is>
      </c>
      <c r="B34" s="6" t="inlineStr">
        <is>
          <t>3.9~4.2%</t>
        </is>
      </c>
      <c r="C34" s="6" t="inlineStr">
        <is>
          <t>일반형</t>
        </is>
      </c>
      <c r="D34" s="6" t="inlineStr">
        <is>
          <t>약 650~700만</t>
        </is>
      </c>
    </row>
    <row r="35">
      <c r="A35" s="3" t="inlineStr">
        <is>
          <t>보금자리론(우대)</t>
        </is>
      </c>
      <c r="B35" s="3" t="inlineStr">
        <is>
          <t>2.9~3.2%</t>
        </is>
      </c>
      <c r="C35" s="3" t="inlineStr">
        <is>
          <t>우대금리 적용</t>
        </is>
      </c>
      <c r="D35" s="3" t="inlineStr">
        <is>
          <t>약 483~533만</t>
        </is>
      </c>
    </row>
  </sheetData>
  <mergeCells count="5">
    <mergeCell ref="A1:D1"/>
    <mergeCell ref="A22:D22"/>
    <mergeCell ref="A3:D3"/>
    <mergeCell ref="A29:D29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</cols>
  <sheetData>
    <row r="1" ht="36" customHeight="1">
      <c r="A1" s="1" t="inlineStr">
        <is>
          <t>단지별 리스크 매트릭스 (영향도 x 발생확률)</t>
        </is>
      </c>
    </row>
    <row r="3" ht="28" customHeight="1">
      <c r="A3" s="2" t="inlineStr">
        <is>
          <t>리스크 요인</t>
        </is>
      </c>
      <c r="B3" s="2" t="inlineStr">
        <is>
          <t>잠실주공영향</t>
        </is>
      </c>
      <c r="C3" s="2" t="inlineStr">
        <is>
          <t>잠실주공확률</t>
        </is>
      </c>
      <c r="D3" s="2" t="inlineStr">
        <is>
          <t>장미1·영향</t>
        </is>
      </c>
      <c r="E3" s="2" t="inlineStr">
        <is>
          <t>장미1·확률</t>
        </is>
      </c>
      <c r="F3" s="2" t="inlineStr">
        <is>
          <t>장미3차영향</t>
        </is>
      </c>
      <c r="G3" s="2" t="inlineStr">
        <is>
          <t>장미3차확률</t>
        </is>
      </c>
      <c r="H3" s="2" t="inlineStr">
        <is>
          <t>우성1·영향</t>
        </is>
      </c>
      <c r="I3" s="2" t="inlineStr">
        <is>
          <t>우성1·확률</t>
        </is>
      </c>
      <c r="J3" s="2" t="inlineStr">
        <is>
          <t>우성4차영향</t>
        </is>
      </c>
      <c r="K3" s="2" t="inlineStr">
        <is>
          <t>우성4차확률</t>
        </is>
      </c>
      <c r="L3" s="2" t="inlineStr">
        <is>
          <t>리스크등급</t>
        </is>
      </c>
    </row>
    <row r="4">
      <c r="A4" s="6" t="inlineStr">
        <is>
          <t>추가공사비 발생</t>
        </is>
      </c>
      <c r="B4" s="6" t="n">
        <v>8</v>
      </c>
      <c r="C4" s="6" t="n">
        <v>7</v>
      </c>
      <c r="D4" s="6" t="n">
        <v>7</v>
      </c>
      <c r="E4" s="6" t="n">
        <v>6</v>
      </c>
      <c r="F4" s="6" t="n">
        <v>7</v>
      </c>
      <c r="G4" s="6" t="n">
        <v>6</v>
      </c>
      <c r="H4" s="6" t="n">
        <v>7</v>
      </c>
      <c r="I4" s="6" t="n">
        <v>6</v>
      </c>
      <c r="J4" s="6" t="n">
        <v>6</v>
      </c>
      <c r="K4" s="6" t="n">
        <v>5</v>
      </c>
      <c r="L4" s="23" t="inlineStr">
        <is>
          <t>매우높음</t>
        </is>
      </c>
    </row>
    <row r="5">
      <c r="A5" s="6" t="inlineStr">
        <is>
          <t>사업 지연 (인허가)</t>
        </is>
      </c>
      <c r="B5" s="6" t="n">
        <v>6</v>
      </c>
      <c r="C5" s="6" t="n">
        <v>4</v>
      </c>
      <c r="D5" s="6" t="n">
        <v>8</v>
      </c>
      <c r="E5" s="6" t="n">
        <v>7</v>
      </c>
      <c r="F5" s="6" t="n">
        <v>8</v>
      </c>
      <c r="G5" s="6" t="n">
        <v>7</v>
      </c>
      <c r="H5" s="6" t="n">
        <v>7</v>
      </c>
      <c r="I5" s="6" t="n">
        <v>6</v>
      </c>
      <c r="J5" s="6" t="n">
        <v>5</v>
      </c>
      <c r="K5" s="6" t="n">
        <v>3</v>
      </c>
      <c r="L5" s="23" t="inlineStr">
        <is>
          <t>매우높음</t>
        </is>
      </c>
    </row>
    <row r="6">
      <c r="A6" s="6" t="inlineStr">
        <is>
          <t>조합 내부 갈등</t>
        </is>
      </c>
      <c r="B6" s="6" t="n">
        <v>7</v>
      </c>
      <c r="C6" s="6" t="n">
        <v>4</v>
      </c>
      <c r="D6" s="6" t="n">
        <v>6</v>
      </c>
      <c r="E6" s="6" t="n">
        <v>5</v>
      </c>
      <c r="F6" s="6" t="n">
        <v>6</v>
      </c>
      <c r="G6" s="6" t="n">
        <v>6</v>
      </c>
      <c r="H6" s="6" t="n">
        <v>6</v>
      </c>
      <c r="I6" s="6" t="n">
        <v>5</v>
      </c>
      <c r="J6" s="6" t="n">
        <v>4</v>
      </c>
      <c r="K6" s="6" t="n">
        <v>3</v>
      </c>
      <c r="L6" s="24" t="inlineStr">
        <is>
          <t>높음</t>
        </is>
      </c>
    </row>
    <row r="7">
      <c r="A7" s="6" t="inlineStr">
        <is>
          <t>부동산 시장 하락</t>
        </is>
      </c>
      <c r="B7" s="6" t="n">
        <v>9</v>
      </c>
      <c r="C7" s="6" t="n">
        <v>5</v>
      </c>
      <c r="D7" s="6" t="n">
        <v>7</v>
      </c>
      <c r="E7" s="6" t="n">
        <v>5</v>
      </c>
      <c r="F7" s="6" t="n">
        <v>7</v>
      </c>
      <c r="G7" s="6" t="n">
        <v>5</v>
      </c>
      <c r="H7" s="6" t="n">
        <v>7</v>
      </c>
      <c r="I7" s="6" t="n">
        <v>5</v>
      </c>
      <c r="J7" s="6" t="n">
        <v>6</v>
      </c>
      <c r="K7" s="6" t="n">
        <v>5</v>
      </c>
      <c r="L7" s="24" t="inlineStr">
        <is>
          <t>높음</t>
        </is>
      </c>
    </row>
    <row r="8">
      <c r="A8" s="6" t="inlineStr">
        <is>
          <t>금리 상승</t>
        </is>
      </c>
      <c r="B8" s="6" t="n">
        <v>8</v>
      </c>
      <c r="C8" s="6" t="n">
        <v>4</v>
      </c>
      <c r="D8" s="6" t="n">
        <v>6</v>
      </c>
      <c r="E8" s="6" t="n">
        <v>4</v>
      </c>
      <c r="F8" s="6" t="n">
        <v>6</v>
      </c>
      <c r="G8" s="6" t="n">
        <v>4</v>
      </c>
      <c r="H8" s="6" t="n">
        <v>6</v>
      </c>
      <c r="I8" s="6" t="n">
        <v>4</v>
      </c>
      <c r="J8" s="6" t="n">
        <v>5</v>
      </c>
      <c r="K8" s="6" t="n">
        <v>4</v>
      </c>
      <c r="L8" s="24" t="inlineStr">
        <is>
          <t>높음</t>
        </is>
      </c>
    </row>
    <row r="9">
      <c r="A9" s="6" t="inlineStr">
        <is>
          <t>정책/규제 강화</t>
        </is>
      </c>
      <c r="B9" s="6" t="n">
        <v>8</v>
      </c>
      <c r="C9" s="6" t="n">
        <v>6</v>
      </c>
      <c r="D9" s="6" t="n">
        <v>7</v>
      </c>
      <c r="E9" s="6" t="n">
        <v>6</v>
      </c>
      <c r="F9" s="6" t="n">
        <v>7</v>
      </c>
      <c r="G9" s="6" t="n">
        <v>6</v>
      </c>
      <c r="H9" s="6" t="n">
        <v>7</v>
      </c>
      <c r="I9" s="6" t="n">
        <v>6</v>
      </c>
      <c r="J9" s="6" t="n">
        <v>6</v>
      </c>
      <c r="K9" s="6" t="n">
        <v>5</v>
      </c>
      <c r="L9" s="23" t="inlineStr">
        <is>
          <t>매우높음</t>
        </is>
      </c>
    </row>
    <row r="10">
      <c r="A10" s="6" t="inlineStr">
        <is>
          <t>재초환 부담금</t>
        </is>
      </c>
      <c r="B10" s="6" t="n">
        <v>9</v>
      </c>
      <c r="C10" s="6" t="n">
        <v>8</v>
      </c>
      <c r="D10" s="6" t="n">
        <v>7</v>
      </c>
      <c r="E10" s="6" t="n">
        <v>6</v>
      </c>
      <c r="F10" s="6" t="n">
        <v>6</v>
      </c>
      <c r="G10" s="6" t="n">
        <v>6</v>
      </c>
      <c r="H10" s="6" t="n">
        <v>6</v>
      </c>
      <c r="I10" s="6" t="n">
        <v>5</v>
      </c>
      <c r="J10" s="6" t="n">
        <v>5</v>
      </c>
      <c r="K10" s="6" t="n">
        <v>4</v>
      </c>
      <c r="L10" s="23" t="inlineStr">
        <is>
          <t>매우높음</t>
        </is>
      </c>
    </row>
    <row r="11">
      <c r="A11" s="6" t="inlineStr">
        <is>
          <t>토지거래허가 연장</t>
        </is>
      </c>
      <c r="B11" s="6" t="n">
        <v>7</v>
      </c>
      <c r="C11" s="6" t="n">
        <v>8</v>
      </c>
      <c r="D11" s="6" t="n">
        <v>5</v>
      </c>
      <c r="E11" s="6" t="n">
        <v>6</v>
      </c>
      <c r="F11" s="6" t="n">
        <v>5</v>
      </c>
      <c r="G11" s="6" t="n">
        <v>6</v>
      </c>
      <c r="H11" s="6" t="n">
        <v>5</v>
      </c>
      <c r="I11" s="6" t="n">
        <v>6</v>
      </c>
      <c r="J11" s="6" t="n">
        <v>4</v>
      </c>
      <c r="K11" s="6" t="n">
        <v>5</v>
      </c>
      <c r="L11" s="23" t="inlineStr">
        <is>
          <t>매우높음</t>
        </is>
      </c>
    </row>
    <row r="12">
      <c r="A12" s="6" t="inlineStr">
        <is>
          <t>분담금 급등</t>
        </is>
      </c>
      <c r="B12" s="6" t="n">
        <v>8</v>
      </c>
      <c r="C12" s="6" t="n">
        <v>5</v>
      </c>
      <c r="D12" s="6" t="n">
        <v>7</v>
      </c>
      <c r="E12" s="6" t="n">
        <v>6</v>
      </c>
      <c r="F12" s="6" t="n">
        <v>7</v>
      </c>
      <c r="G12" s="6" t="n">
        <v>6</v>
      </c>
      <c r="H12" s="6" t="n">
        <v>7</v>
      </c>
      <c r="I12" s="6" t="n">
        <v>6</v>
      </c>
      <c r="J12" s="6" t="n">
        <v>5</v>
      </c>
      <c r="K12" s="6" t="n">
        <v>4</v>
      </c>
      <c r="L12" s="24" t="inlineStr">
        <is>
          <t>높음</t>
        </is>
      </c>
    </row>
    <row r="13">
      <c r="A13" s="6" t="inlineStr">
        <is>
          <t>시공사 리스크</t>
        </is>
      </c>
      <c r="B13" s="6" t="n">
        <v>6</v>
      </c>
      <c r="C13" s="6" t="n">
        <v>2</v>
      </c>
      <c r="D13" s="6" t="n">
        <v>7</v>
      </c>
      <c r="E13" s="6" t="n">
        <v>7</v>
      </c>
      <c r="F13" s="6" t="n">
        <v>7</v>
      </c>
      <c r="G13" s="6" t="n">
        <v>7</v>
      </c>
      <c r="H13" s="6" t="n">
        <v>7</v>
      </c>
      <c r="I13" s="6" t="n">
        <v>7</v>
      </c>
      <c r="J13" s="6" t="n">
        <v>5</v>
      </c>
      <c r="K13" s="6" t="n">
        <v>3</v>
      </c>
      <c r="L13" s="23" t="inlineStr">
        <is>
          <t>매우높음</t>
        </is>
      </c>
    </row>
    <row r="14">
      <c r="A14" s="6" t="inlineStr">
        <is>
          <t>양도소득세 중과</t>
        </is>
      </c>
      <c r="B14" s="6" t="n">
        <v>8</v>
      </c>
      <c r="C14" s="6" t="n">
        <v>5</v>
      </c>
      <c r="D14" s="6" t="n">
        <v>6</v>
      </c>
      <c r="E14" s="6" t="n">
        <v>5</v>
      </c>
      <c r="F14" s="6" t="n">
        <v>6</v>
      </c>
      <c r="G14" s="6" t="n">
        <v>5</v>
      </c>
      <c r="H14" s="6" t="n">
        <v>6</v>
      </c>
      <c r="I14" s="6" t="n">
        <v>5</v>
      </c>
      <c r="J14" s="6" t="n">
        <v>5</v>
      </c>
      <c r="K14" s="6" t="n">
        <v>5</v>
      </c>
      <c r="L14" s="24" t="inlineStr">
        <is>
          <t>높음</t>
        </is>
      </c>
    </row>
    <row r="15">
      <c r="A15" s="6" t="inlineStr">
        <is>
          <t>보유세 부담 증가</t>
        </is>
      </c>
      <c r="B15" s="6" t="n">
        <v>9</v>
      </c>
      <c r="C15" s="6" t="n">
        <v>7</v>
      </c>
      <c r="D15" s="6" t="n">
        <v>6</v>
      </c>
      <c r="E15" s="6" t="n">
        <v>5</v>
      </c>
      <c r="F15" s="6" t="n">
        <v>6</v>
      </c>
      <c r="G15" s="6" t="n">
        <v>5</v>
      </c>
      <c r="H15" s="6" t="n">
        <v>6</v>
      </c>
      <c r="I15" s="6" t="n">
        <v>5</v>
      </c>
      <c r="J15" s="6" t="n">
        <v>5</v>
      </c>
      <c r="K15" s="6" t="n">
        <v>4</v>
      </c>
      <c r="L15" s="23" t="inlineStr">
        <is>
          <t>매우높음</t>
        </is>
      </c>
    </row>
    <row r="17">
      <c r="A17" s="13" t="inlineStr">
        <is>
          <t>종합 리스크 점수</t>
        </is>
      </c>
      <c r="B17" s="25" t="n">
        <v>43</v>
      </c>
      <c r="D17" s="26" t="n">
        <v>37.7</v>
      </c>
      <c r="F17" s="26" t="n">
        <v>37.7</v>
      </c>
      <c r="H17" s="26" t="n">
        <v>35.5</v>
      </c>
      <c r="J17" s="27" t="n">
        <v>21.4</v>
      </c>
    </row>
  </sheetData>
  <mergeCells count="6">
    <mergeCell ref="A1:L1"/>
    <mergeCell ref="B17:C17"/>
    <mergeCell ref="D17:E17"/>
    <mergeCell ref="F17:G17"/>
    <mergeCell ref="J17:K17"/>
    <mergeCell ref="H17:I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</cols>
  <sheetData>
    <row r="1" ht="36" customHeight="1">
      <c r="A1" s="1" t="inlineStr">
        <is>
          <t>서울 주요 재건축 완료 사례 벤치마크</t>
        </is>
      </c>
    </row>
    <row r="3" ht="28" customHeight="1">
      <c r="A3" s="2" t="inlineStr">
        <is>
          <t>사업명</t>
        </is>
      </c>
      <c r="B3" s="2" t="inlineStr">
        <is>
          <t>위치</t>
        </is>
      </c>
      <c r="C3" s="2" t="inlineStr">
        <is>
          <t>기존세대</t>
        </is>
      </c>
      <c r="D3" s="2" t="inlineStr">
        <is>
          <t>신축세대</t>
        </is>
      </c>
      <c r="E3" s="2" t="inlineStr">
        <is>
          <t>소요기간(년)</t>
        </is>
      </c>
      <c r="F3" s="2" t="inlineStr">
        <is>
          <t>분양가(84m²억)</t>
        </is>
      </c>
      <c r="G3" s="2" t="inlineStr">
        <is>
          <t>현시세(84m²억)</t>
        </is>
      </c>
      <c r="H3" s="2" t="inlineStr">
        <is>
          <t>시세차익(억)</t>
        </is>
      </c>
      <c r="I3" s="2" t="inlineStr">
        <is>
          <t>조합원수익률</t>
        </is>
      </c>
      <c r="J3" s="2" t="inlineStr">
        <is>
          <t>추가공사비이슈</t>
        </is>
      </c>
    </row>
    <row r="4">
      <c r="A4" s="3" t="inlineStr">
        <is>
          <t>둔촌주공→올림픽파크포레온</t>
        </is>
      </c>
      <c r="B4" s="3" t="inlineStr">
        <is>
          <t>강동구 둔촌동</t>
        </is>
      </c>
      <c r="C4" s="3" t="n">
        <v>5930</v>
      </c>
      <c r="D4" s="3" t="n">
        <v>12032</v>
      </c>
      <c r="E4" s="3" t="n">
        <v>16</v>
      </c>
      <c r="F4" s="3" t="n">
        <v>13</v>
      </c>
      <c r="G4" s="3" t="n">
        <v>24</v>
      </c>
      <c r="H4" s="3" t="n">
        <v>11</v>
      </c>
      <c r="I4" s="3" t="inlineStr">
        <is>
          <t>200~300%</t>
        </is>
      </c>
      <c r="J4" s="3" t="inlineStr">
        <is>
          <t>약 1조원</t>
        </is>
      </c>
    </row>
    <row r="5">
      <c r="A5" s="6" t="inlineStr">
        <is>
          <t>반포주공1단지→래미안원베일리</t>
        </is>
      </c>
      <c r="B5" s="6" t="inlineStr">
        <is>
          <t>서초구 반포동</t>
        </is>
      </c>
      <c r="C5" s="6" t="n">
        <v>2444</v>
      </c>
      <c r="D5" s="6" t="n">
        <v>2990</v>
      </c>
      <c r="E5" s="6" t="n">
        <v>15</v>
      </c>
      <c r="F5" s="6" t="n">
        <v>20</v>
      </c>
      <c r="G5" s="6" t="n">
        <v>42</v>
      </c>
      <c r="H5" s="6" t="n">
        <v>22</v>
      </c>
      <c r="I5" s="6" t="inlineStr">
        <is>
          <t>150~250%</t>
        </is>
      </c>
      <c r="J5" s="6" t="inlineStr">
        <is>
          <t>일부</t>
        </is>
      </c>
    </row>
    <row r="6">
      <c r="A6" s="3" t="inlineStr">
        <is>
          <t>개포주공1단지→디에이치포레센트</t>
        </is>
      </c>
      <c r="B6" s="3" t="inlineStr">
        <is>
          <t>강남구 개포동</t>
        </is>
      </c>
      <c r="C6" s="3" t="n">
        <v>1980</v>
      </c>
      <c r="D6" s="3" t="n">
        <v>6702</v>
      </c>
      <c r="E6" s="3" t="n">
        <v>14</v>
      </c>
      <c r="F6" s="3" t="n">
        <v>15</v>
      </c>
      <c r="G6" s="3" t="n">
        <v>38</v>
      </c>
      <c r="H6" s="3" t="n">
        <v>23</v>
      </c>
      <c r="I6" s="3" t="inlineStr">
        <is>
          <t>200~300%</t>
        </is>
      </c>
      <c r="J6" s="3" t="inlineStr">
        <is>
          <t>해결</t>
        </is>
      </c>
    </row>
    <row r="7">
      <c r="A7" s="6" t="inlineStr">
        <is>
          <t>개포주공4단지→개포래미안포레스트</t>
        </is>
      </c>
      <c r="B7" s="6" t="inlineStr">
        <is>
          <t>강남구 개포동</t>
        </is>
      </c>
      <c r="C7" s="6" t="n">
        <v>1100</v>
      </c>
      <c r="D7" s="6" t="n">
        <v>3375</v>
      </c>
      <c r="E7" s="6" t="n">
        <v>12</v>
      </c>
      <c r="F7" s="6" t="n">
        <v>14</v>
      </c>
      <c r="G7" s="6" t="n">
        <v>35</v>
      </c>
      <c r="H7" s="6" t="n">
        <v>21</v>
      </c>
      <c r="I7" s="6" t="inlineStr">
        <is>
          <t>180~280%</t>
        </is>
      </c>
      <c r="J7" s="6" t="inlineStr">
        <is>
          <t>없음</t>
        </is>
      </c>
    </row>
    <row r="8">
      <c r="A8" s="3" t="inlineStr">
        <is>
          <t>잠실주공1~4단지→잠실르엘</t>
        </is>
      </c>
      <c r="B8" s="3" t="inlineStr">
        <is>
          <t>송파구 잠실동</t>
        </is>
      </c>
      <c r="C8" s="3" t="n">
        <v>5678</v>
      </c>
      <c r="D8" s="3" t="n">
        <v>6300</v>
      </c>
      <c r="E8" s="3" t="n">
        <v>13</v>
      </c>
      <c r="F8" s="3" t="n">
        <v>13.5</v>
      </c>
      <c r="G8" s="3" t="n">
        <v>30</v>
      </c>
      <c r="H8" s="3" t="n">
        <v>16.5</v>
      </c>
      <c r="I8" s="3" t="inlineStr">
        <is>
          <t>150~250%</t>
        </is>
      </c>
      <c r="J8" s="3" t="inlineStr">
        <is>
          <t>일부</t>
        </is>
      </c>
    </row>
    <row r="11">
      <c r="A11" s="22" t="inlineStr">
        <is>
          <t>[벤치마크 시사점]</t>
        </is>
      </c>
    </row>
    <row r="12">
      <c r="A12" s="28" t="inlineStr">
        <is>
          <t>1. 서울 주요 재건축 완료 사례 평균 소요기간: 약 14년 (조합설립~입주)</t>
        </is>
      </c>
    </row>
    <row r="13">
      <c r="A13" s="28" t="inlineStr">
        <is>
          <t>2. 분양가 대비 현시세 평균 프리미엄: 약 100~200% 상승</t>
        </is>
      </c>
    </row>
    <row r="14">
      <c r="A14" s="28" t="inlineStr">
        <is>
          <t>3. 추가공사비 이슈는 대규모 단지(5천세대+)에서 빈번 → 잠실주공5단지 주의</t>
        </is>
      </c>
    </row>
    <row r="15">
      <c r="A15" s="28" t="inlineStr">
        <is>
          <t>4. 조합원 초기 매입가가 낮을수록 수익률 극대화 → 우성4차 유리</t>
        </is>
      </c>
    </row>
    <row r="16">
      <c r="A16" s="28" t="inlineStr">
        <is>
          <t>5. 한강변/강남권 입지가 완공 후 시세 프리미엄 극대화에 핵심</t>
        </is>
      </c>
    </row>
    <row r="17">
      <c r="A17" s="28" t="inlineStr">
        <is>
          <t>6. 시공사 브랜드(삼성·현대·GS)가 완공 후 시세에 5~10% 프리미엄 추가</t>
        </is>
      </c>
    </row>
  </sheetData>
  <mergeCells count="8">
    <mergeCell ref="A1:J1"/>
    <mergeCell ref="A14:J14"/>
    <mergeCell ref="A17:J17"/>
    <mergeCell ref="A12:J12"/>
    <mergeCell ref="A15:J15"/>
    <mergeCell ref="A16:J16"/>
    <mergeCell ref="A13:J13"/>
    <mergeCell ref="A11:J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6" customHeight="1">
      <c r="A1" s="1" t="inlineStr">
        <is>
          <t>3개 시나리오별 투자 수익 시뮬레이션</t>
        </is>
      </c>
    </row>
    <row r="3" ht="30" customHeight="1">
      <c r="A3" s="29" t="inlineStr">
        <is>
          <t>시나리오: 낙관 (Bull)</t>
        </is>
      </c>
    </row>
    <row r="4">
      <c r="A4" s="30" t="inlineStr">
        <is>
          <t>전제: 금리인하, 규제완화, 부동산 상승기</t>
        </is>
      </c>
    </row>
    <row r="5" ht="28" customHeight="1">
      <c r="A5" s="2" t="inlineStr">
        <is>
          <t>항목</t>
        </is>
      </c>
      <c r="B5" s="2" t="inlineStr">
        <is>
          <t>잠실주공5단지</t>
        </is>
      </c>
      <c r="C5" s="2" t="inlineStr">
        <is>
          <t>장미1·2차</t>
        </is>
      </c>
      <c r="D5" s="2" t="inlineStr">
        <is>
          <t>장미3차</t>
        </is>
      </c>
      <c r="E5" s="2" t="inlineStr">
        <is>
          <t>우성1·2·3차</t>
        </is>
      </c>
      <c r="F5" s="2" t="inlineStr">
        <is>
          <t>우성4차</t>
        </is>
      </c>
    </row>
    <row r="6">
      <c r="A6" s="3" t="inlineStr">
        <is>
          <t>예상 신축가(억)</t>
        </is>
      </c>
      <c r="B6" s="3" t="n">
        <v>58</v>
      </c>
      <c r="C6" s="3" t="n">
        <v>48</v>
      </c>
      <c r="D6" s="3" t="n">
        <v>46</v>
      </c>
      <c r="E6" s="3" t="n">
        <v>45</v>
      </c>
      <c r="F6" s="3" t="n">
        <v>40</v>
      </c>
    </row>
    <row r="7">
      <c r="A7" s="6" t="inlineStr">
        <is>
          <t>분담금(억)</t>
        </is>
      </c>
      <c r="B7" s="6" t="n">
        <v>2</v>
      </c>
      <c r="C7" s="6" t="n">
        <v>1.5</v>
      </c>
      <c r="D7" s="6" t="n">
        <v>1.5</v>
      </c>
      <c r="E7" s="6" t="n">
        <v>1.5</v>
      </c>
      <c r="F7" s="6" t="n">
        <v>1</v>
      </c>
    </row>
    <row r="8">
      <c r="A8" s="3" t="inlineStr">
        <is>
          <t>이주기간(년)</t>
        </is>
      </c>
      <c r="B8" s="3" t="n">
        <v>4</v>
      </c>
      <c r="C8" s="3" t="n">
        <v>3.5</v>
      </c>
      <c r="D8" s="3" t="n">
        <v>3.5</v>
      </c>
      <c r="E8" s="3" t="n">
        <v>3.5</v>
      </c>
      <c r="F8" s="3" t="n">
        <v>2.5</v>
      </c>
    </row>
    <row r="9">
      <c r="A9" s="6" t="inlineStr">
        <is>
          <t>총투자비(억)</t>
        </is>
      </c>
      <c r="B9" s="6" t="n">
        <v>55.3</v>
      </c>
      <c r="C9" s="6" t="n">
        <v>34.7</v>
      </c>
      <c r="D9" s="6" t="n">
        <v>33.1</v>
      </c>
      <c r="E9" s="6" t="n">
        <v>32</v>
      </c>
      <c r="F9" s="6" t="n">
        <v>28.1</v>
      </c>
    </row>
    <row r="10">
      <c r="A10" s="3" t="inlineStr">
        <is>
          <t>예상차익(억)</t>
        </is>
      </c>
      <c r="B10" s="31" t="n">
        <v>2.7</v>
      </c>
      <c r="C10" s="31" t="n">
        <v>13.3</v>
      </c>
      <c r="D10" s="31" t="n">
        <v>12.9</v>
      </c>
      <c r="E10" s="31" t="n">
        <v>13</v>
      </c>
      <c r="F10" s="31" t="n">
        <v>11.9</v>
      </c>
    </row>
    <row r="11">
      <c r="A11" s="6" t="inlineStr">
        <is>
          <t>ROI(%)</t>
        </is>
      </c>
      <c r="B11" s="31" t="n">
        <v>5.8</v>
      </c>
      <c r="C11" s="31" t="n">
        <v>48.4</v>
      </c>
      <c r="D11" s="31" t="n">
        <v>49.8</v>
      </c>
      <c r="E11" s="31" t="n">
        <v>52.1</v>
      </c>
      <c r="F11" s="31" t="n">
        <v>52.4</v>
      </c>
    </row>
    <row r="13" ht="30" customHeight="1">
      <c r="A13" s="32" t="inlineStr">
        <is>
          <t>시나리오: 중립 (Base)</t>
        </is>
      </c>
    </row>
    <row r="14">
      <c r="A14" s="30" t="inlineStr">
        <is>
          <t>전제: 현 추세 유지, 완만한 상승</t>
        </is>
      </c>
    </row>
    <row r="15" ht="28" customHeight="1">
      <c r="A15" s="2" t="inlineStr">
        <is>
          <t>항목</t>
        </is>
      </c>
      <c r="B15" s="2" t="inlineStr">
        <is>
          <t>잠실주공5단지</t>
        </is>
      </c>
      <c r="C15" s="2" t="inlineStr">
        <is>
          <t>장미1·2차</t>
        </is>
      </c>
      <c r="D15" s="2" t="inlineStr">
        <is>
          <t>장미3차</t>
        </is>
      </c>
      <c r="E15" s="2" t="inlineStr">
        <is>
          <t>우성1·2·3차</t>
        </is>
      </c>
      <c r="F15" s="2" t="inlineStr">
        <is>
          <t>우성4차</t>
        </is>
      </c>
    </row>
    <row r="16">
      <c r="A16" s="3" t="inlineStr">
        <is>
          <t>예상 신축가(억)</t>
        </is>
      </c>
      <c r="B16" s="3" t="n">
        <v>52</v>
      </c>
      <c r="C16" s="3" t="n">
        <v>42</v>
      </c>
      <c r="D16" s="3" t="n">
        <v>40</v>
      </c>
      <c r="E16" s="3" t="n">
        <v>40</v>
      </c>
      <c r="F16" s="3" t="n">
        <v>35</v>
      </c>
    </row>
    <row r="17">
      <c r="A17" s="6" t="inlineStr">
        <is>
          <t>분담금(억)</t>
        </is>
      </c>
      <c r="B17" s="6" t="n">
        <v>3.5</v>
      </c>
      <c r="C17" s="6" t="n">
        <v>2.5</v>
      </c>
      <c r="D17" s="6" t="n">
        <v>2.5</v>
      </c>
      <c r="E17" s="6" t="n">
        <v>2.5</v>
      </c>
      <c r="F17" s="6" t="n">
        <v>2</v>
      </c>
    </row>
    <row r="18">
      <c r="A18" s="3" t="inlineStr">
        <is>
          <t>이주기간(년)</t>
        </is>
      </c>
      <c r="B18" s="3" t="n">
        <v>5</v>
      </c>
      <c r="C18" s="3" t="n">
        <v>4.5</v>
      </c>
      <c r="D18" s="3" t="n">
        <v>4.5</v>
      </c>
      <c r="E18" s="3" t="n">
        <v>4.5</v>
      </c>
      <c r="F18" s="3" t="n">
        <v>3.5</v>
      </c>
    </row>
    <row r="19">
      <c r="A19" s="6" t="inlineStr">
        <is>
          <t>총투자비(억)</t>
        </is>
      </c>
      <c r="B19" s="6" t="n">
        <v>57.9</v>
      </c>
      <c r="C19" s="6" t="n">
        <v>36.8</v>
      </c>
      <c r="D19" s="6" t="n">
        <v>35.2</v>
      </c>
      <c r="E19" s="6" t="n">
        <v>34.1</v>
      </c>
      <c r="F19" s="6" t="n">
        <v>30.2</v>
      </c>
    </row>
    <row r="20">
      <c r="A20" s="3" t="inlineStr">
        <is>
          <t>예상차익(억)</t>
        </is>
      </c>
      <c r="B20" s="23" t="n">
        <v>-5.9</v>
      </c>
      <c r="C20" s="31" t="n">
        <v>5.2</v>
      </c>
      <c r="D20" s="31" t="n">
        <v>4.8</v>
      </c>
      <c r="E20" s="31" t="n">
        <v>5.9</v>
      </c>
      <c r="F20" s="31" t="n">
        <v>4.8</v>
      </c>
    </row>
    <row r="21">
      <c r="A21" s="6" t="inlineStr">
        <is>
          <t>ROI(%)</t>
        </is>
      </c>
      <c r="B21" s="23" t="n">
        <v>-12.6</v>
      </c>
      <c r="C21" s="31" t="n">
        <v>19</v>
      </c>
      <c r="D21" s="31" t="n">
        <v>18.6</v>
      </c>
      <c r="E21" s="31" t="n">
        <v>23.6</v>
      </c>
      <c r="F21" s="31" t="n">
        <v>21.2</v>
      </c>
    </row>
    <row r="23" ht="30" customHeight="1">
      <c r="A23" s="33" t="inlineStr">
        <is>
          <t>시나리오: 비관 (Bear)</t>
        </is>
      </c>
    </row>
    <row r="24">
      <c r="A24" s="30" t="inlineStr">
        <is>
          <t>전제: 금리상승, 규제강화, 경기침체</t>
        </is>
      </c>
    </row>
    <row r="25" ht="28" customHeight="1">
      <c r="A25" s="2" t="inlineStr">
        <is>
          <t>항목</t>
        </is>
      </c>
      <c r="B25" s="2" t="inlineStr">
        <is>
          <t>잠실주공5단지</t>
        </is>
      </c>
      <c r="C25" s="2" t="inlineStr">
        <is>
          <t>장미1·2차</t>
        </is>
      </c>
      <c r="D25" s="2" t="inlineStr">
        <is>
          <t>장미3차</t>
        </is>
      </c>
      <c r="E25" s="2" t="inlineStr">
        <is>
          <t>우성1·2·3차</t>
        </is>
      </c>
      <c r="F25" s="2" t="inlineStr">
        <is>
          <t>우성4차</t>
        </is>
      </c>
    </row>
    <row r="26">
      <c r="A26" s="3" t="inlineStr">
        <is>
          <t>예상 신축가(억)</t>
        </is>
      </c>
      <c r="B26" s="3" t="n">
        <v>48</v>
      </c>
      <c r="C26" s="3" t="n">
        <v>38</v>
      </c>
      <c r="D26" s="3" t="n">
        <v>36</v>
      </c>
      <c r="E26" s="3" t="n">
        <v>35</v>
      </c>
      <c r="F26" s="3" t="n">
        <v>30</v>
      </c>
    </row>
    <row r="27">
      <c r="A27" s="6" t="inlineStr">
        <is>
          <t>분담금(억)</t>
        </is>
      </c>
      <c r="B27" s="6" t="n">
        <v>5</v>
      </c>
      <c r="C27" s="6" t="n">
        <v>4</v>
      </c>
      <c r="D27" s="6" t="n">
        <v>4</v>
      </c>
      <c r="E27" s="6" t="n">
        <v>4</v>
      </c>
      <c r="F27" s="6" t="n">
        <v>3</v>
      </c>
    </row>
    <row r="28">
      <c r="A28" s="3" t="inlineStr">
        <is>
          <t>이주기간(년)</t>
        </is>
      </c>
      <c r="B28" s="3" t="n">
        <v>6.5</v>
      </c>
      <c r="C28" s="3" t="n">
        <v>6</v>
      </c>
      <c r="D28" s="3" t="n">
        <v>6</v>
      </c>
      <c r="E28" s="3" t="n">
        <v>6</v>
      </c>
      <c r="F28" s="3" t="n">
        <v>4.5</v>
      </c>
    </row>
    <row r="29">
      <c r="A29" s="6" t="inlineStr">
        <is>
          <t>총투자비(억)</t>
        </is>
      </c>
      <c r="B29" s="6" t="n">
        <v>61.1</v>
      </c>
      <c r="C29" s="6" t="n">
        <v>40.1</v>
      </c>
      <c r="D29" s="6" t="n">
        <v>38.4</v>
      </c>
      <c r="E29" s="6" t="n">
        <v>37.4</v>
      </c>
      <c r="F29" s="6" t="n">
        <v>32.3</v>
      </c>
    </row>
    <row r="30">
      <c r="A30" s="3" t="inlineStr">
        <is>
          <t>예상차익(억)</t>
        </is>
      </c>
      <c r="B30" s="23" t="n">
        <v>-13.1</v>
      </c>
      <c r="C30" s="23" t="n">
        <v>-2.1</v>
      </c>
      <c r="D30" s="23" t="n">
        <v>-2.4</v>
      </c>
      <c r="E30" s="23" t="n">
        <v>-2.4</v>
      </c>
      <c r="F30" s="23" t="n">
        <v>-2.3</v>
      </c>
    </row>
    <row r="31">
      <c r="A31" s="6" t="inlineStr">
        <is>
          <t>ROI(%)</t>
        </is>
      </c>
      <c r="B31" s="23" t="n">
        <v>-28.2</v>
      </c>
      <c r="C31" s="23" t="n">
        <v>-7.5</v>
      </c>
      <c r="D31" s="23" t="n">
        <v>-9.4</v>
      </c>
      <c r="E31" s="23" t="n">
        <v>-9.6</v>
      </c>
      <c r="F31" s="23" t="n">
        <v>-10</v>
      </c>
    </row>
  </sheetData>
  <mergeCells count="7">
    <mergeCell ref="A24:F24"/>
    <mergeCell ref="A13:F13"/>
    <mergeCell ref="A14:F14"/>
    <mergeCell ref="A1:F1"/>
    <mergeCell ref="A23:F23"/>
    <mergeCell ref="A4:F4"/>
    <mergeCell ref="A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1" t="inlineStr">
        <is>
          <t>연도별 현금흐름 시뮬레이션 (잠실주공5단지 vs 우성4차)</t>
        </is>
      </c>
    </row>
    <row r="3">
      <c r="A3" s="22" t="inlineStr">
        <is>
          <t>[A] 잠실주공5단지 (전용 84m², 매입가 45억)</t>
        </is>
      </c>
    </row>
    <row r="4" ht="28" customHeight="1">
      <c r="A4" s="2" t="inlineStr">
        <is>
          <t>연도</t>
        </is>
      </c>
      <c r="B4" s="2" t="inlineStr">
        <is>
          <t>구분</t>
        </is>
      </c>
      <c r="C4" s="2" t="inlineStr">
        <is>
          <t>지출(억)</t>
        </is>
      </c>
      <c r="D4" s="2" t="inlineStr">
        <is>
          <t>수입(억)</t>
        </is>
      </c>
      <c r="E4" s="2" t="inlineStr">
        <is>
          <t>누적투자(억)</t>
        </is>
      </c>
      <c r="F4" s="2" t="inlineStr">
        <is>
          <t>시점자산가치(억)</t>
        </is>
      </c>
      <c r="G4" s="2" t="inlineStr">
        <is>
          <t>순자산(억)</t>
        </is>
      </c>
    </row>
    <row r="5">
      <c r="A5" s="6" t="n">
        <v>2026</v>
      </c>
      <c r="B5" s="6" t="inlineStr">
        <is>
          <t>매입+취득세+중개</t>
        </is>
      </c>
      <c r="C5" s="6" t="n">
        <v>-46.6</v>
      </c>
      <c r="D5" s="6" t="n">
        <v>0</v>
      </c>
      <c r="E5" s="6" t="n">
        <v>-46.6</v>
      </c>
      <c r="F5" s="6" t="n">
        <v>45</v>
      </c>
      <c r="G5" s="23" t="n">
        <v>-1.6</v>
      </c>
    </row>
    <row r="6">
      <c r="A6" s="6" t="n">
        <v>2026</v>
      </c>
      <c r="B6" s="6" t="inlineStr">
        <is>
          <t>보유세+대출이자</t>
        </is>
      </c>
      <c r="C6" s="6" t="n">
        <v>-1.1</v>
      </c>
      <c r="D6" s="6" t="n">
        <v>0</v>
      </c>
      <c r="E6" s="6" t="n">
        <v>-47.7</v>
      </c>
      <c r="F6" s="6" t="n">
        <v>45</v>
      </c>
      <c r="G6" s="23" t="n">
        <v>-2.7</v>
      </c>
    </row>
    <row r="7">
      <c r="A7" s="6" t="n">
        <v>2027</v>
      </c>
      <c r="B7" s="6" t="inlineStr">
        <is>
          <t>이주+전세기회비용+보유세+이자</t>
        </is>
      </c>
      <c r="C7" s="6" t="n">
        <v>-1.4</v>
      </c>
      <c r="D7" s="6" t="n">
        <v>0</v>
      </c>
      <c r="E7" s="6" t="n">
        <v>-49.1</v>
      </c>
      <c r="F7" s="6" t="n">
        <v>46</v>
      </c>
      <c r="G7" s="23" t="n">
        <v>-3.1</v>
      </c>
    </row>
    <row r="8">
      <c r="A8" s="6" t="n">
        <v>2028</v>
      </c>
      <c r="B8" s="6" t="inlineStr">
        <is>
          <t>분담금(1차)+보유비용</t>
        </is>
      </c>
      <c r="C8" s="6" t="n">
        <v>-3</v>
      </c>
      <c r="D8" s="6" t="n">
        <v>0</v>
      </c>
      <c r="E8" s="6" t="n">
        <v>-52.1</v>
      </c>
      <c r="F8" s="6" t="n">
        <v>47</v>
      </c>
      <c r="G8" s="23" t="n">
        <v>-5.1</v>
      </c>
    </row>
    <row r="9">
      <c r="A9" s="6" t="n">
        <v>2029</v>
      </c>
      <c r="B9" s="6" t="inlineStr">
        <is>
          <t>보유비용+분담금(잔금)</t>
        </is>
      </c>
      <c r="C9" s="6" t="n">
        <v>-1.9</v>
      </c>
      <c r="D9" s="6" t="n">
        <v>0</v>
      </c>
      <c r="E9" s="6" t="n">
        <v>-54</v>
      </c>
      <c r="F9" s="6" t="n">
        <v>48</v>
      </c>
      <c r="G9" s="23" t="n">
        <v>-6</v>
      </c>
    </row>
    <row r="10">
      <c r="A10" s="6" t="n">
        <v>2030</v>
      </c>
      <c r="B10" s="6" t="inlineStr">
        <is>
          <t>보유비용</t>
        </is>
      </c>
      <c r="C10" s="6" t="n">
        <v>-1.4</v>
      </c>
      <c r="D10" s="6" t="n">
        <v>0</v>
      </c>
      <c r="E10" s="6" t="n">
        <v>-55.4</v>
      </c>
      <c r="F10" s="6" t="n">
        <v>50</v>
      </c>
      <c r="G10" s="23" t="n">
        <v>-5.4</v>
      </c>
    </row>
    <row r="11">
      <c r="A11" s="6" t="n">
        <v>2031</v>
      </c>
      <c r="B11" s="6" t="inlineStr">
        <is>
          <t>준공+신축취득세</t>
        </is>
      </c>
      <c r="C11" s="6" t="n">
        <v>-1.5</v>
      </c>
      <c r="D11" s="6" t="n">
        <v>0</v>
      </c>
      <c r="E11" s="6" t="n">
        <v>-56.9</v>
      </c>
      <c r="F11" s="6" t="n">
        <v>52</v>
      </c>
      <c r="G11" s="23" t="n">
        <v>-4.9</v>
      </c>
    </row>
    <row r="12">
      <c r="A12" s="6" t="n">
        <v>2031</v>
      </c>
      <c r="B12" s="6" t="inlineStr">
        <is>
          <t>입주 (자산가치 확정)</t>
        </is>
      </c>
      <c r="C12" s="6" t="n">
        <v>0</v>
      </c>
      <c r="D12" s="6" t="n">
        <v>52</v>
      </c>
      <c r="E12" s="6" t="n">
        <v>-56.9</v>
      </c>
      <c r="F12" s="6" t="n">
        <v>52</v>
      </c>
      <c r="G12" s="23" t="n">
        <v>-4.9</v>
      </c>
    </row>
    <row r="15">
      <c r="A15" s="22" t="inlineStr">
        <is>
          <t>[B] 우성4차 (전용 84m², 매입가 22억)</t>
        </is>
      </c>
    </row>
    <row r="16" ht="28" customHeight="1">
      <c r="A16" s="2" t="inlineStr">
        <is>
          <t>연도</t>
        </is>
      </c>
      <c r="B16" s="2" t="inlineStr">
        <is>
          <t>구분</t>
        </is>
      </c>
      <c r="C16" s="2" t="inlineStr">
        <is>
          <t>지출(억)</t>
        </is>
      </c>
      <c r="D16" s="2" t="inlineStr">
        <is>
          <t>수입(억)</t>
        </is>
      </c>
      <c r="E16" s="2" t="inlineStr">
        <is>
          <t>누적투자(억)</t>
        </is>
      </c>
      <c r="F16" s="2" t="inlineStr">
        <is>
          <t>시점자산가치(억)</t>
        </is>
      </c>
      <c r="G16" s="2" t="inlineStr">
        <is>
          <t>순자산(억)</t>
        </is>
      </c>
    </row>
    <row r="17">
      <c r="A17" s="6" t="n">
        <v>2026</v>
      </c>
      <c r="B17" s="6" t="inlineStr">
        <is>
          <t>매입+취득세+중개</t>
        </is>
      </c>
      <c r="C17" s="6" t="n">
        <v>-22.8</v>
      </c>
      <c r="D17" s="6" t="n">
        <v>0</v>
      </c>
      <c r="E17" s="6" t="n">
        <v>-22.8</v>
      </c>
      <c r="F17" s="6" t="n">
        <v>22</v>
      </c>
      <c r="G17" s="23" t="n">
        <v>-0.8</v>
      </c>
    </row>
    <row r="18">
      <c r="A18" s="6" t="n">
        <v>2026</v>
      </c>
      <c r="B18" s="6" t="inlineStr">
        <is>
          <t>이주+보유비용</t>
        </is>
      </c>
      <c r="C18" s="6" t="n">
        <v>-0.9</v>
      </c>
      <c r="D18" s="6" t="n">
        <v>0</v>
      </c>
      <c r="E18" s="6" t="n">
        <v>-23.7</v>
      </c>
      <c r="F18" s="6" t="n">
        <v>22</v>
      </c>
      <c r="G18" s="23" t="n">
        <v>-1.7</v>
      </c>
    </row>
    <row r="19">
      <c r="A19" s="6" t="n">
        <v>2027</v>
      </c>
      <c r="B19" s="6" t="inlineStr">
        <is>
          <t>분담금(1차)+보유비용</t>
        </is>
      </c>
      <c r="C19" s="6" t="n">
        <v>-2.4</v>
      </c>
      <c r="D19" s="6" t="n">
        <v>0</v>
      </c>
      <c r="E19" s="6" t="n">
        <v>-26.1</v>
      </c>
      <c r="F19" s="6" t="n">
        <v>24</v>
      </c>
      <c r="G19" s="23" t="n">
        <v>-2.1</v>
      </c>
    </row>
    <row r="20">
      <c r="A20" s="6" t="n">
        <v>2028</v>
      </c>
      <c r="B20" s="6" t="inlineStr">
        <is>
          <t>보유비용+분담금(잔금)</t>
        </is>
      </c>
      <c r="C20" s="6" t="n">
        <v>-1.2</v>
      </c>
      <c r="D20" s="6" t="n">
        <v>0</v>
      </c>
      <c r="E20" s="6" t="n">
        <v>-27.3</v>
      </c>
      <c r="F20" s="6" t="n">
        <v>28</v>
      </c>
      <c r="G20" s="31" t="n">
        <v>0.7</v>
      </c>
    </row>
    <row r="21">
      <c r="A21" s="6" t="n">
        <v>2029</v>
      </c>
      <c r="B21" s="6" t="inlineStr">
        <is>
          <t>준공+신축취득세</t>
        </is>
      </c>
      <c r="C21" s="6" t="n">
        <v>-1</v>
      </c>
      <c r="D21" s="6" t="n">
        <v>0</v>
      </c>
      <c r="E21" s="6" t="n">
        <v>-28.3</v>
      </c>
      <c r="F21" s="6" t="n">
        <v>35</v>
      </c>
      <c r="G21" s="31" t="n">
        <v>6.7</v>
      </c>
    </row>
    <row r="22">
      <c r="A22" s="6" t="n">
        <v>2029</v>
      </c>
      <c r="B22" s="6" t="inlineStr">
        <is>
          <t>입주 (자산가치 확정)</t>
        </is>
      </c>
      <c r="C22" s="6" t="n">
        <v>0</v>
      </c>
      <c r="D22" s="6" t="n">
        <v>35</v>
      </c>
      <c r="E22" s="6" t="n">
        <v>-28.3</v>
      </c>
      <c r="F22" s="6" t="n">
        <v>35</v>
      </c>
      <c r="G22" s="31" t="n">
        <v>6.7</v>
      </c>
    </row>
    <row r="25">
      <c r="A25" s="22" t="inlineStr">
        <is>
          <t>[비교 요약]</t>
        </is>
      </c>
    </row>
    <row r="26" ht="28" customHeight="1">
      <c r="A26" s="2" t="inlineStr">
        <is>
          <t>항목</t>
        </is>
      </c>
      <c r="B26" s="2" t="inlineStr">
        <is>
          <t>잠실주공5단지</t>
        </is>
      </c>
      <c r="C26" s="2" t="inlineStr">
        <is>
          <t>우성4차</t>
        </is>
      </c>
      <c r="D26" s="2" t="inlineStr">
        <is>
          <t>차이</t>
        </is>
      </c>
      <c r="E26" s="2" t="inlineStr">
        <is>
          <t>유리한 단지</t>
        </is>
      </c>
      <c r="F26" s="2" t="inlineStr"/>
      <c r="G26" s="2" t="inlineStr"/>
    </row>
    <row r="27">
      <c r="A27" s="6" t="inlineStr">
        <is>
          <t>총투자금(억)</t>
        </is>
      </c>
      <c r="B27" s="6" t="n">
        <v>56.9</v>
      </c>
      <c r="C27" s="6" t="n">
        <v>28.3</v>
      </c>
      <c r="D27" s="6" t="n">
        <v>-28.6</v>
      </c>
      <c r="E27" s="6" t="inlineStr">
        <is>
          <t>우성4차</t>
        </is>
      </c>
      <c r="F27" s="6" t="inlineStr"/>
      <c r="G27" s="6" t="inlineStr"/>
    </row>
    <row r="28">
      <c r="A28" s="6" t="inlineStr">
        <is>
          <t>예상자산가치(억)</t>
        </is>
      </c>
      <c r="B28" s="6" t="n">
        <v>52</v>
      </c>
      <c r="C28" s="6" t="n">
        <v>35</v>
      </c>
      <c r="D28" s="6" t="n">
        <v>-17</v>
      </c>
      <c r="E28" s="6" t="inlineStr">
        <is>
          <t>잠실주공5단지</t>
        </is>
      </c>
      <c r="F28" s="6" t="inlineStr"/>
      <c r="G28" s="6" t="inlineStr"/>
    </row>
    <row r="29">
      <c r="A29" s="6" t="inlineStr">
        <is>
          <t>순자산(억)</t>
        </is>
      </c>
      <c r="B29" s="6" t="n">
        <v>-4.9</v>
      </c>
      <c r="C29" s="6" t="n">
        <v>6.7</v>
      </c>
      <c r="D29" s="6" t="n">
        <v>11.6</v>
      </c>
      <c r="E29" s="6" t="inlineStr">
        <is>
          <t>우성4차</t>
        </is>
      </c>
      <c r="F29" s="6" t="inlineStr"/>
      <c r="G29" s="6" t="inlineStr"/>
    </row>
    <row r="30">
      <c r="A30" s="6" t="inlineStr">
        <is>
          <t>투자기간(년)</t>
        </is>
      </c>
      <c r="B30" s="6" t="n">
        <v>5.5</v>
      </c>
      <c r="C30" s="6" t="n">
        <v>3.5</v>
      </c>
      <c r="D30" s="6" t="n">
        <v>-2</v>
      </c>
      <c r="E30" s="6" t="inlineStr">
        <is>
          <t>우성4차</t>
        </is>
      </c>
      <c r="F30" s="6" t="inlineStr"/>
      <c r="G30" s="6" t="inlineStr"/>
    </row>
    <row r="31">
      <c r="A31" s="6" t="inlineStr">
        <is>
          <t>ROI(%)</t>
        </is>
      </c>
      <c r="B31" s="6" t="n">
        <v>-8.6</v>
      </c>
      <c r="C31" s="6" t="n">
        <v>23.7</v>
      </c>
      <c r="D31" s="6" t="n">
        <v>32.3</v>
      </c>
      <c r="E31" s="6" t="inlineStr">
        <is>
          <t>우성4차</t>
        </is>
      </c>
      <c r="F31" s="6" t="inlineStr"/>
      <c r="G31" s="6" t="inlineStr"/>
    </row>
    <row r="32">
      <c r="A32" s="6" t="inlineStr">
        <is>
          <t>연환산ROI(%)</t>
        </is>
      </c>
      <c r="B32" s="6" t="n">
        <v>-1.6</v>
      </c>
      <c r="C32" s="6" t="n">
        <v>6.8</v>
      </c>
      <c r="D32" s="6" t="n">
        <v>8.4</v>
      </c>
      <c r="E32" s="6" t="inlineStr">
        <is>
          <t>우성4차</t>
        </is>
      </c>
      <c r="F32" s="6" t="inlineStr"/>
      <c r="G32" s="6" t="inlineStr"/>
    </row>
    <row r="33">
      <c r="A33" s="6" t="inlineStr">
        <is>
          <t>리스크수준</t>
        </is>
      </c>
      <c r="B33" s="6" t="inlineStr">
        <is>
          <t>높음</t>
        </is>
      </c>
      <c r="C33" s="6" t="inlineStr">
        <is>
          <t>중간</t>
        </is>
      </c>
      <c r="D33" s="6" t="inlineStr">
        <is>
          <t>-</t>
        </is>
      </c>
      <c r="E33" s="6" t="inlineStr">
        <is>
          <t>우성4차</t>
        </is>
      </c>
      <c r="F33" s="6" t="inlineStr"/>
      <c r="G33" s="6" t="inlineStr"/>
    </row>
    <row r="34">
      <c r="A34" s="6" t="inlineStr">
        <is>
          <t>미래프리미엄</t>
        </is>
      </c>
      <c r="B34" s="6" t="inlineStr">
        <is>
          <t>매우높음</t>
        </is>
      </c>
      <c r="C34" s="6" t="inlineStr">
        <is>
          <t>중간</t>
        </is>
      </c>
      <c r="D34" s="6" t="inlineStr">
        <is>
          <t>-</t>
        </is>
      </c>
      <c r="E34" s="6" t="inlineStr">
        <is>
          <t>잠실주공5단지</t>
        </is>
      </c>
      <c r="F34" s="6" t="inlineStr"/>
      <c r="G34" s="6" t="inlineStr"/>
    </row>
  </sheetData>
  <mergeCells count="4">
    <mergeCell ref="A3:G3"/>
    <mergeCell ref="A1:G1"/>
    <mergeCell ref="A25:G25"/>
    <mergeCell ref="A15:G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12" customWidth="1" min="4" max="4"/>
    <col width="30" customWidth="1" min="5" max="5"/>
  </cols>
  <sheetData>
    <row r="1" ht="36" customHeight="1">
      <c r="A1" s="1" t="inlineStr">
        <is>
          <t>정책/규제 영향 분석</t>
        </is>
      </c>
    </row>
    <row r="3" ht="28" customHeight="1">
      <c r="A3" s="2" t="inlineStr">
        <is>
          <t>정책/규제</t>
        </is>
      </c>
      <c r="B3" s="2" t="inlineStr">
        <is>
          <t>현황</t>
        </is>
      </c>
      <c r="C3" s="2" t="inlineStr">
        <is>
          <t>투자 영향</t>
        </is>
      </c>
      <c r="D3" s="2" t="inlineStr">
        <is>
          <t>영향도</t>
        </is>
      </c>
      <c r="E3" s="2" t="inlineStr">
        <is>
          <t>잠실 적용</t>
        </is>
      </c>
    </row>
    <row r="4">
      <c r="A4" s="3" t="inlineStr">
        <is>
          <t>토지거래허가제</t>
        </is>
      </c>
      <c r="B4" s="3" t="inlineStr">
        <is>
          <t>잠실동 전체 지정 (2026.06.22까지)</t>
        </is>
      </c>
      <c r="C4" s="3" t="inlineStr">
        <is>
          <t>매수시 실거주 의무, 전세 놓기 불가</t>
        </is>
      </c>
      <c r="D4" s="34" t="inlineStr">
        <is>
          <t>매우 높음</t>
        </is>
      </c>
      <c r="E4" s="3" t="inlineStr">
        <is>
          <t>잠실주공5단지 직접 영향</t>
        </is>
      </c>
    </row>
    <row r="5">
      <c r="A5" s="6" t="inlineStr">
        <is>
          <t>재건축초과이익환수제</t>
        </is>
      </c>
      <c r="B5" s="6" t="inlineStr">
        <is>
          <t>2025년 부활, 2026년 본격 적용</t>
        </is>
      </c>
      <c r="C5" s="6" t="inlineStr">
        <is>
          <t>초과이익 최대 50% 환수</t>
        </is>
      </c>
      <c r="D5" s="34" t="inlineStr">
        <is>
          <t>매우 높음</t>
        </is>
      </c>
      <c r="E5" s="6" t="inlineStr">
        <is>
          <t>주공5단지 예상 부담금 수억원</t>
        </is>
      </c>
    </row>
    <row r="6">
      <c r="A6" s="3" t="inlineStr">
        <is>
          <t>분양가상한제</t>
        </is>
      </c>
      <c r="B6" s="3" t="inlineStr">
        <is>
          <t>공공택지 및 과열지역 적용</t>
        </is>
      </c>
      <c r="C6" s="3" t="inlineStr">
        <is>
          <t>일반분양 수익 제한→분담금 영향</t>
        </is>
      </c>
      <c r="D6" s="35" t="inlineStr">
        <is>
          <t>높음</t>
        </is>
      </c>
      <c r="E6" s="3" t="inlineStr">
        <is>
          <t>조합 수익구조에 직접 영향</t>
        </is>
      </c>
    </row>
    <row r="7">
      <c r="A7" s="6" t="inlineStr">
        <is>
          <t>안전진단 강화</t>
        </is>
      </c>
      <c r="B7" s="6" t="inlineStr">
        <is>
          <t>2024년 구조안전성 비중 50%→30%</t>
        </is>
      </c>
      <c r="C7" s="6" t="inlineStr">
        <is>
          <t>사업 착수 용이해짐</t>
        </is>
      </c>
      <c r="D7" s="36" t="inlineStr">
        <is>
          <t>긍정적</t>
        </is>
      </c>
      <c r="E7" s="6" t="inlineStr">
        <is>
          <t>장미/우성 단지에 유리</t>
        </is>
      </c>
    </row>
    <row r="8">
      <c r="A8" s="3" t="inlineStr">
        <is>
          <t>1기 신도시 특별법</t>
        </is>
      </c>
      <c r="B8" s="3" t="inlineStr">
        <is>
          <t>정비사업 촉진 간접효과</t>
        </is>
      </c>
      <c r="C8" s="3" t="inlineStr">
        <is>
          <t>수도권 공급 확대→잠실 희소성 유지</t>
        </is>
      </c>
      <c r="D8" s="3" t="inlineStr">
        <is>
          <t>중립</t>
        </is>
      </c>
      <c r="E8" s="3" t="inlineStr">
        <is>
          <t>공급 분산 효과</t>
        </is>
      </c>
    </row>
    <row r="9">
      <c r="A9" s="6" t="inlineStr">
        <is>
          <t>종부세 공정시장가액비율</t>
        </is>
      </c>
      <c r="B9" s="6" t="inlineStr">
        <is>
          <t>2026년 100% 적용</t>
        </is>
      </c>
      <c r="C9" s="6" t="inlineStr">
        <is>
          <t>보유세 대폭 증가</t>
        </is>
      </c>
      <c r="D9" s="35" t="inlineStr">
        <is>
          <t>높음</t>
        </is>
      </c>
      <c r="E9" s="6" t="inlineStr">
        <is>
          <t>고가 주택 보유비용 급증</t>
        </is>
      </c>
    </row>
    <row r="10">
      <c r="A10" s="3" t="inlineStr">
        <is>
          <t>다주택자 양도세 중과</t>
        </is>
      </c>
      <c r="B10" s="3" t="inlineStr">
        <is>
          <t>조정대상지역 +20~30%p</t>
        </is>
      </c>
      <c r="C10" s="3" t="inlineStr">
        <is>
          <t>단기 매도시 세금 부담 극대화</t>
        </is>
      </c>
      <c r="D10" s="35" t="inlineStr">
        <is>
          <t>높음</t>
        </is>
      </c>
      <c r="E10" s="3" t="inlineStr">
        <is>
          <t>최소 2년 보유/2년 거주 필요</t>
        </is>
      </c>
    </row>
    <row r="11">
      <c r="A11" s="6" t="inlineStr">
        <is>
          <t>DSR 규제</t>
        </is>
      </c>
      <c r="B11" s="6" t="inlineStr">
        <is>
          <t>총부채원리금상환비율 40%</t>
        </is>
      </c>
      <c r="C11" s="6" t="inlineStr">
        <is>
          <t>대출 한도 제한</t>
        </is>
      </c>
      <c r="D11" s="6" t="inlineStr">
        <is>
          <t>중간</t>
        </is>
      </c>
      <c r="E11" s="6" t="inlineStr">
        <is>
          <t>고가 주택 대출 어려움</t>
        </is>
      </c>
    </row>
    <row r="12">
      <c r="A12" s="3" t="inlineStr">
        <is>
          <t>GTX-A 개통</t>
        </is>
      </c>
      <c r="B12" s="3" t="inlineStr">
        <is>
          <t>2025년 말 개통 예정</t>
        </is>
      </c>
      <c r="C12" s="3" t="inlineStr">
        <is>
          <t>수서역 접근성 향상→잠실 간접 수혜</t>
        </is>
      </c>
      <c r="D12" s="36" t="inlineStr">
        <is>
          <t>긍정적</t>
        </is>
      </c>
      <c r="E12" s="3" t="inlineStr">
        <is>
          <t>교통 프리미엄 강화</t>
        </is>
      </c>
    </row>
    <row r="13">
      <c r="A13" s="6" t="inlineStr">
        <is>
          <t>MICE 복합단지</t>
        </is>
      </c>
      <c r="B13" s="6" t="inlineStr">
        <is>
          <t>잠실종합운동장 일대 개발</t>
        </is>
      </c>
      <c r="C13" s="6" t="inlineStr">
        <is>
          <t>마이스 산업+상업시설</t>
        </is>
      </c>
      <c r="D13" s="36" t="inlineStr">
        <is>
          <t>긍정적</t>
        </is>
      </c>
      <c r="E13" s="6" t="inlineStr">
        <is>
          <t>잠실 일대 미래가치 상승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</cols>
  <sheetData>
    <row r="1" ht="36" customHeight="1">
      <c r="A1" s="1" t="inlineStr">
        <is>
          <t>주요 단지별 입지/인프라 접근성 비교</t>
        </is>
      </c>
    </row>
    <row r="3" ht="28" customHeight="1">
      <c r="A3" s="2" t="inlineStr">
        <is>
          <t>인프라 항목</t>
        </is>
      </c>
      <c r="B3" s="2" t="inlineStr">
        <is>
          <t>잠실주공5단지</t>
        </is>
      </c>
      <c r="C3" s="2" t="inlineStr">
        <is>
          <t>장미1·2차</t>
        </is>
      </c>
      <c r="D3" s="2" t="inlineStr">
        <is>
          <t>우성4차</t>
        </is>
      </c>
    </row>
    <row r="4">
      <c r="A4" s="3" t="inlineStr">
        <is>
          <t>GBC(예정)</t>
        </is>
      </c>
      <c r="B4" s="3" t="inlineStr">
        <is>
          <t>대중교통20분</t>
        </is>
      </c>
      <c r="C4" s="3" t="inlineStr">
        <is>
          <t>대중교통25분</t>
        </is>
      </c>
      <c r="D4" s="3" t="inlineStr">
        <is>
          <t>대중교통22분</t>
        </is>
      </c>
    </row>
    <row r="5">
      <c r="A5" s="6" t="inlineStr">
        <is>
          <t>GTX-A(수서)</t>
        </is>
      </c>
      <c r="B5" s="6" t="inlineStr">
        <is>
          <t>환승15분</t>
        </is>
      </c>
      <c r="C5" s="6" t="inlineStr">
        <is>
          <t>환승20분</t>
        </is>
      </c>
      <c r="D5" s="6" t="inlineStr">
        <is>
          <t>환승18분</t>
        </is>
      </c>
    </row>
    <row r="6">
      <c r="A6" s="3" t="inlineStr">
        <is>
          <t>MICE단지(예정)</t>
        </is>
      </c>
      <c r="B6" s="3" t="inlineStr">
        <is>
          <t>도보10분</t>
        </is>
      </c>
      <c r="C6" s="3" t="inlineStr">
        <is>
          <t>도보15분</t>
        </is>
      </c>
      <c r="D6" s="3" t="inlineStr">
        <is>
          <t>도보12분</t>
        </is>
      </c>
    </row>
    <row r="7">
      <c r="A7" s="6" t="inlineStr">
        <is>
          <t>대형마트</t>
        </is>
      </c>
      <c r="B7" s="6" t="inlineStr">
        <is>
          <t>도보5분</t>
        </is>
      </c>
      <c r="C7" s="6" t="inlineStr">
        <is>
          <t>도보10분</t>
        </is>
      </c>
      <c r="D7" s="6" t="inlineStr">
        <is>
          <t>도보7분</t>
        </is>
      </c>
    </row>
    <row r="8">
      <c r="A8" s="3" t="inlineStr">
        <is>
          <t>대형병원(서울아산)</t>
        </is>
      </c>
      <c r="B8" s="3" t="inlineStr">
        <is>
          <t>대중교통15분</t>
        </is>
      </c>
      <c r="C8" s="3" t="inlineStr">
        <is>
          <t>대중교통20분</t>
        </is>
      </c>
      <c r="D8" s="3" t="inlineStr">
        <is>
          <t>대중교통18분</t>
        </is>
      </c>
    </row>
    <row r="9">
      <c r="A9" s="6" t="inlineStr">
        <is>
          <t>롯데월드타워</t>
        </is>
      </c>
      <c r="B9" s="6" t="inlineStr">
        <is>
          <t>도보5분</t>
        </is>
      </c>
      <c r="C9" s="6" t="inlineStr">
        <is>
          <t>도보10분</t>
        </is>
      </c>
      <c r="D9" s="6" t="inlineStr">
        <is>
          <t>도보8분</t>
        </is>
      </c>
    </row>
    <row r="10">
      <c r="A10" s="3" t="inlineStr">
        <is>
          <t>석촌호수</t>
        </is>
      </c>
      <c r="B10" s="3" t="inlineStr">
        <is>
          <t>도보10분</t>
        </is>
      </c>
      <c r="C10" s="3" t="inlineStr">
        <is>
          <t>도보15분</t>
        </is>
      </c>
      <c r="D10" s="3" t="inlineStr">
        <is>
          <t>도보8분</t>
        </is>
      </c>
    </row>
    <row r="11">
      <c r="A11" s="6" t="inlineStr">
        <is>
          <t>신천초</t>
        </is>
      </c>
      <c r="B11" s="6" t="inlineStr">
        <is>
          <t>-</t>
        </is>
      </c>
      <c r="C11" s="6" t="inlineStr">
        <is>
          <t>도보5분</t>
        </is>
      </c>
      <c r="D11" s="6" t="inlineStr">
        <is>
          <t>-</t>
        </is>
      </c>
    </row>
    <row r="12">
      <c r="A12" s="3" t="inlineStr">
        <is>
          <t>올림픽공원</t>
        </is>
      </c>
      <c r="B12" s="3" t="inlineStr">
        <is>
          <t>도보15분</t>
        </is>
      </c>
      <c r="C12" s="3" t="inlineStr">
        <is>
          <t>-</t>
        </is>
      </c>
      <c r="D12" s="3" t="inlineStr">
        <is>
          <t>도보20분</t>
        </is>
      </c>
    </row>
    <row r="13">
      <c r="A13" s="6" t="inlineStr">
        <is>
          <t>위례신사선(예정)</t>
        </is>
      </c>
      <c r="B13" s="6" t="inlineStr">
        <is>
          <t>도보10분</t>
        </is>
      </c>
      <c r="C13" s="6" t="inlineStr">
        <is>
          <t>도보15분</t>
        </is>
      </c>
      <c r="D13" s="6" t="inlineStr">
        <is>
          <t>도보12분</t>
        </is>
      </c>
    </row>
    <row r="14">
      <c r="A14" s="3" t="inlineStr">
        <is>
          <t>잠신중</t>
        </is>
      </c>
      <c r="B14" s="3" t="inlineStr">
        <is>
          <t>도보7분</t>
        </is>
      </c>
      <c r="C14" s="3" t="inlineStr">
        <is>
          <t>-</t>
        </is>
      </c>
      <c r="D14" s="3" t="inlineStr">
        <is>
          <t>-</t>
        </is>
      </c>
    </row>
    <row r="15">
      <c r="A15" s="6" t="inlineStr">
        <is>
          <t>잠실고</t>
        </is>
      </c>
      <c r="B15" s="6" t="inlineStr">
        <is>
          <t>도보10분</t>
        </is>
      </c>
      <c r="C15" s="6" t="inlineStr">
        <is>
          <t>도보12분</t>
        </is>
      </c>
      <c r="D15" s="6" t="inlineStr">
        <is>
          <t>도보10분</t>
        </is>
      </c>
    </row>
    <row r="16">
      <c r="A16" s="3" t="inlineStr">
        <is>
          <t>잠실나루역(2호선)</t>
        </is>
      </c>
      <c r="B16" s="3" t="inlineStr">
        <is>
          <t>-</t>
        </is>
      </c>
      <c r="C16" s="3" t="inlineStr">
        <is>
          <t>도보7분</t>
        </is>
      </c>
      <c r="D16" s="3" t="inlineStr">
        <is>
          <t>-</t>
        </is>
      </c>
    </row>
    <row r="17">
      <c r="A17" s="6" t="inlineStr">
        <is>
          <t>잠실역</t>
        </is>
      </c>
      <c r="B17" s="6" t="inlineStr">
        <is>
          <t>-</t>
        </is>
      </c>
      <c r="C17" s="6" t="inlineStr">
        <is>
          <t>도보15분</t>
        </is>
      </c>
      <c r="D17" s="6" t="inlineStr">
        <is>
          <t>-</t>
        </is>
      </c>
    </row>
    <row r="18">
      <c r="A18" s="3" t="inlineStr">
        <is>
          <t>잠실역(2·8호선)</t>
        </is>
      </c>
      <c r="B18" s="3" t="inlineStr">
        <is>
          <t>도보5분</t>
        </is>
      </c>
      <c r="C18" s="3" t="inlineStr">
        <is>
          <t>-</t>
        </is>
      </c>
      <c r="D18" s="3" t="inlineStr">
        <is>
          <t>도보10분</t>
        </is>
      </c>
    </row>
    <row r="19">
      <c r="A19" s="6" t="inlineStr">
        <is>
          <t>잠실중</t>
        </is>
      </c>
      <c r="B19" s="6" t="inlineStr">
        <is>
          <t>-</t>
        </is>
      </c>
      <c r="C19" s="6" t="inlineStr">
        <is>
          <t>도보10분</t>
        </is>
      </c>
      <c r="D19" s="6" t="inlineStr">
        <is>
          <t>도보8분</t>
        </is>
      </c>
    </row>
    <row r="20">
      <c r="A20" s="3" t="inlineStr">
        <is>
          <t>잠실초</t>
        </is>
      </c>
      <c r="B20" s="3" t="inlineStr">
        <is>
          <t>도보5분</t>
        </is>
      </c>
      <c r="C20" s="3" t="inlineStr">
        <is>
          <t>-</t>
        </is>
      </c>
      <c r="D20" s="3" t="inlineStr">
        <is>
          <t>-</t>
        </is>
      </c>
    </row>
    <row r="21">
      <c r="A21" s="6" t="inlineStr">
        <is>
          <t>잠전초</t>
        </is>
      </c>
      <c r="B21" s="6" t="inlineStr">
        <is>
          <t>-</t>
        </is>
      </c>
      <c r="C21" s="6" t="inlineStr">
        <is>
          <t>-</t>
        </is>
      </c>
      <c r="D21" s="6" t="inlineStr">
        <is>
          <t>도보5분</t>
        </is>
      </c>
    </row>
    <row r="22">
      <c r="A22" s="3" t="inlineStr">
        <is>
          <t>종합운동장역</t>
        </is>
      </c>
      <c r="B22" s="3" t="inlineStr">
        <is>
          <t>도보10분</t>
        </is>
      </c>
      <c r="C22" s="3" t="inlineStr">
        <is>
          <t>-</t>
        </is>
      </c>
      <c r="D22" s="3" t="inlineStr">
        <is>
          <t>도보12분</t>
        </is>
      </c>
    </row>
    <row r="23">
      <c r="A23" s="6" t="inlineStr">
        <is>
          <t>탄천</t>
        </is>
      </c>
      <c r="B23" s="6" t="inlineStr">
        <is>
          <t>도보15분</t>
        </is>
      </c>
      <c r="C23" s="6" t="inlineStr">
        <is>
          <t>도보10분</t>
        </is>
      </c>
      <c r="D23" s="6" t="inlineStr">
        <is>
          <t>도보12분</t>
        </is>
      </c>
    </row>
    <row r="24">
      <c r="A24" s="3" t="inlineStr">
        <is>
          <t>한강공원</t>
        </is>
      </c>
      <c r="B24" s="3" t="inlineStr">
        <is>
          <t>-</t>
        </is>
      </c>
      <c r="C24" s="3" t="inlineStr">
        <is>
          <t>도보5분</t>
        </is>
      </c>
      <c r="D24" s="3" t="inlineStr">
        <is>
          <t>-</t>
        </is>
      </c>
    </row>
    <row r="27">
      <c r="A27" s="22" t="inlineStr">
        <is>
          <t>[미래 개발호재 영향도 점수 (10점 만점)]</t>
        </is>
      </c>
    </row>
    <row r="28" ht="28" customHeight="1">
      <c r="A28" s="2" t="inlineStr">
        <is>
          <t>개발호재</t>
        </is>
      </c>
      <c r="B28" s="2" t="inlineStr">
        <is>
          <t>잠실주공5단지</t>
        </is>
      </c>
      <c r="C28" s="2" t="inlineStr">
        <is>
          <t>장미1·2차</t>
        </is>
      </c>
      <c r="D28" s="2" t="inlineStr">
        <is>
          <t>우성4차</t>
        </is>
      </c>
    </row>
    <row r="29">
      <c r="A29" s="3" t="inlineStr">
        <is>
          <t>GTX-A 수서역 개통</t>
        </is>
      </c>
      <c r="B29" s="3" t="n">
        <v>8</v>
      </c>
      <c r="C29" s="3" t="n">
        <v>7</v>
      </c>
      <c r="D29" s="3" t="n">
        <v>7</v>
      </c>
    </row>
    <row r="30">
      <c r="A30" s="6" t="inlineStr">
        <is>
          <t>위례신사선 개통</t>
        </is>
      </c>
      <c r="B30" s="6" t="n">
        <v>9</v>
      </c>
      <c r="C30" s="6" t="n">
        <v>7</v>
      </c>
      <c r="D30" s="6" t="n">
        <v>8</v>
      </c>
    </row>
    <row r="31">
      <c r="A31" s="3" t="inlineStr">
        <is>
          <t>MICE 복합단지</t>
        </is>
      </c>
      <c r="B31" s="3" t="n">
        <v>10</v>
      </c>
      <c r="C31" s="3" t="n">
        <v>7</v>
      </c>
      <c r="D31" s="3" t="n">
        <v>8</v>
      </c>
    </row>
    <row r="32">
      <c r="A32" s="6" t="inlineStr">
        <is>
          <t>GBC(현대차)</t>
        </is>
      </c>
      <c r="B32" s="6" t="n">
        <v>7</v>
      </c>
      <c r="C32" s="6" t="n">
        <v>6</v>
      </c>
      <c r="D32" s="6" t="n">
        <v>6</v>
      </c>
    </row>
    <row r="33">
      <c r="A33" s="3" t="inlineStr">
        <is>
          <t>탄천 수변공간 정비</t>
        </is>
      </c>
      <c r="B33" s="3" t="n">
        <v>7</v>
      </c>
      <c r="C33" s="3" t="n">
        <v>8</v>
      </c>
      <c r="D33" s="3" t="n">
        <v>7</v>
      </c>
    </row>
    <row r="34">
      <c r="A34" s="6" t="inlineStr">
        <is>
          <t>잠실종합운동장 리모델링</t>
        </is>
      </c>
      <c r="B34" s="6" t="n">
        <v>9</v>
      </c>
      <c r="C34" s="6" t="n">
        <v>7</v>
      </c>
      <c r="D34" s="6" t="n">
        <v>8</v>
      </c>
    </row>
    <row r="35">
      <c r="A35" s="3" t="inlineStr">
        <is>
          <t>롯데월드타워 상권</t>
        </is>
      </c>
      <c r="B35" s="3" t="n">
        <v>9</v>
      </c>
      <c r="C35" s="3" t="n">
        <v>8</v>
      </c>
      <c r="D35" s="3" t="n">
        <v>8</v>
      </c>
    </row>
    <row r="36">
      <c r="A36" s="6" t="inlineStr">
        <is>
          <t>영동대로 지하공간</t>
        </is>
      </c>
      <c r="B36" s="6" t="n">
        <v>8</v>
      </c>
      <c r="C36" s="6" t="n">
        <v>6</v>
      </c>
      <c r="D36" s="6" t="n">
        <v>7</v>
      </c>
    </row>
    <row r="37">
      <c r="A37" s="37" t="inlineStr">
        <is>
          <t>합계</t>
        </is>
      </c>
      <c r="B37" s="37" t="n">
        <v>67</v>
      </c>
      <c r="C37" s="37" t="n">
        <v>56</v>
      </c>
      <c r="D37" s="37" t="n">
        <v>59</v>
      </c>
    </row>
  </sheetData>
  <mergeCells count="2">
    <mergeCell ref="A1:D1"/>
    <mergeCell ref="A27:D2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6" customHeight="1">
      <c r="A1" s="1" t="inlineStr">
        <is>
          <t>최종 투자 판단 종합 매트릭스</t>
        </is>
      </c>
    </row>
    <row r="3">
      <c r="A3" s="22" t="inlineStr">
        <is>
          <t>[투자자 유형별 추천 단지]</t>
        </is>
      </c>
    </row>
    <row r="4" ht="28" customHeight="1">
      <c r="A4" s="2" t="inlineStr">
        <is>
          <t>투자자 유형</t>
        </is>
      </c>
      <c r="B4" s="2" t="inlineStr">
        <is>
          <t>1순위 추천</t>
        </is>
      </c>
      <c r="C4" s="2" t="inlineStr">
        <is>
          <t>2순위 추천</t>
        </is>
      </c>
      <c r="D4" s="2" t="inlineStr">
        <is>
          <t>이유</t>
        </is>
      </c>
      <c r="E4" s="2" t="inlineStr">
        <is>
          <t>주의사항</t>
        </is>
      </c>
      <c r="F4" s="2" t="inlineStr"/>
    </row>
    <row r="5">
      <c r="A5" s="6" t="inlineStr">
        <is>
          <t>공격적 투자자
(높은 수익 추구)</t>
        </is>
      </c>
      <c r="B5" s="6" t="inlineStr">
        <is>
          <t>우성4차</t>
        </is>
      </c>
      <c r="C5" s="6" t="inlineStr">
        <is>
          <t>장미1·2차</t>
        </is>
      </c>
      <c r="D5" s="6" t="inlineStr">
        <is>
          <t>빠른 사업진행, 높은 ROI</t>
        </is>
      </c>
      <c r="E5" s="6" t="inlineStr">
        <is>
          <t>소규모 단지 리스크</t>
        </is>
      </c>
      <c r="F5" s="6" t="inlineStr"/>
    </row>
    <row r="6">
      <c r="A6" s="6" t="inlineStr">
        <is>
          <t>안정적 투자자
(자산가치 보전)</t>
        </is>
      </c>
      <c r="B6" s="6" t="inlineStr">
        <is>
          <t>잠실주공5단지</t>
        </is>
      </c>
      <c r="C6" s="6" t="inlineStr">
        <is>
          <t>장미1·2차</t>
        </is>
      </c>
      <c r="D6" s="6" t="inlineStr">
        <is>
          <t>입지/브랜드 최상위</t>
        </is>
      </c>
      <c r="E6" s="6" t="inlineStr">
        <is>
          <t>높은 매입가, 낮은 ROI</t>
        </is>
      </c>
      <c r="F6" s="6" t="inlineStr"/>
    </row>
    <row r="7">
      <c r="A7" s="6" t="inlineStr">
        <is>
          <t>중장기 투자자
(5년+ 보유)</t>
        </is>
      </c>
      <c r="B7" s="6" t="inlineStr">
        <is>
          <t>장미1·2차</t>
        </is>
      </c>
      <c r="C7" s="6" t="inlineStr">
        <is>
          <t>우성1·2·3차</t>
        </is>
      </c>
      <c r="D7" s="6" t="inlineStr">
        <is>
          <t>적정 매입가+한강조망</t>
        </is>
      </c>
      <c r="E7" s="6" t="inlineStr">
        <is>
          <t>사업 지연 가능성</t>
        </is>
      </c>
      <c r="F7" s="6" t="inlineStr"/>
    </row>
    <row r="8">
      <c r="A8" s="6" t="inlineStr">
        <is>
          <t>갭투자자
(레버리지 활용)</t>
        </is>
      </c>
      <c r="B8" s="6" t="inlineStr">
        <is>
          <t>우성4차</t>
        </is>
      </c>
      <c r="C8" s="6" t="inlineStr">
        <is>
          <t>우성1·2·3차</t>
        </is>
      </c>
      <c r="D8" s="6" t="inlineStr">
        <is>
          <t>낮은 매입가, 빠른 회수</t>
        </is>
      </c>
      <c r="E8" s="6" t="inlineStr">
        <is>
          <t>토지거래허가 주의</t>
        </is>
      </c>
      <c r="F8" s="6" t="inlineStr"/>
    </row>
    <row r="9">
      <c r="A9" s="6" t="inlineStr">
        <is>
          <t>실거주+투자
(자가거주 후 매도)</t>
        </is>
      </c>
      <c r="B9" s="6" t="inlineStr">
        <is>
          <t>잠실주공5단지</t>
        </is>
      </c>
      <c r="C9" s="6" t="inlineStr">
        <is>
          <t>장미1·2차</t>
        </is>
      </c>
      <c r="D9" s="6" t="inlineStr">
        <is>
          <t>최고의 거주환경 확보</t>
        </is>
      </c>
      <c r="E9" s="6" t="inlineStr">
        <is>
          <t>이주기간 전세비용</t>
        </is>
      </c>
      <c r="F9" s="6" t="inlineStr"/>
    </row>
    <row r="12">
      <c r="A12" s="22" t="inlineStr">
        <is>
          <t>[종합 평가 매트릭스]</t>
        </is>
      </c>
    </row>
    <row r="13" ht="28" customHeight="1">
      <c r="A13" s="2" t="inlineStr">
        <is>
          <t>평가 항목</t>
        </is>
      </c>
      <c r="B13" s="2" t="inlineStr">
        <is>
          <t>잠실주공5단지</t>
        </is>
      </c>
      <c r="C13" s="2" t="inlineStr">
        <is>
          <t>장미1·2차</t>
        </is>
      </c>
      <c r="D13" s="2" t="inlineStr">
        <is>
          <t>장미3차</t>
        </is>
      </c>
      <c r="E13" s="2" t="inlineStr">
        <is>
          <t>우성1·2·3차</t>
        </is>
      </c>
      <c r="F13" s="2" t="inlineStr">
        <is>
          <t>우성4차</t>
        </is>
      </c>
    </row>
    <row r="14">
      <c r="A14" s="3" t="inlineStr">
        <is>
          <t>입지/환경 (30%)</t>
        </is>
      </c>
      <c r="B14" s="4" t="n">
        <v>9.4</v>
      </c>
      <c r="C14" s="4" t="n">
        <v>8.6</v>
      </c>
      <c r="D14" s="4" t="n">
        <v>8</v>
      </c>
      <c r="E14" s="5" t="n">
        <v>7.4</v>
      </c>
      <c r="F14" s="5" t="n">
        <v>7</v>
      </c>
    </row>
    <row r="15">
      <c r="A15" s="6" t="inlineStr">
        <is>
          <t>재건축 사업성 (25%)</t>
        </is>
      </c>
      <c r="B15" s="4" t="n">
        <v>8.800000000000001</v>
      </c>
      <c r="C15" s="5" t="n">
        <v>6.2</v>
      </c>
      <c r="D15" s="7" t="n">
        <v>5.8</v>
      </c>
      <c r="E15" s="5" t="n">
        <v>6</v>
      </c>
      <c r="F15" s="5" t="n">
        <v>6.6</v>
      </c>
    </row>
    <row r="16">
      <c r="A16" s="3" t="inlineStr">
        <is>
          <t>투자 수익성 (25%)</t>
        </is>
      </c>
      <c r="B16" s="8" t="n">
        <v>3.6</v>
      </c>
      <c r="C16" s="7" t="n">
        <v>5.8</v>
      </c>
      <c r="D16" s="7" t="n">
        <v>5.8</v>
      </c>
      <c r="E16" s="7" t="n">
        <v>5.6</v>
      </c>
      <c r="F16" s="5" t="n">
        <v>7</v>
      </c>
    </row>
    <row r="17">
      <c r="A17" s="6" t="inlineStr">
        <is>
          <t>안정성/리스크 (10%)</t>
        </is>
      </c>
      <c r="B17" s="5" t="n">
        <v>6.5</v>
      </c>
      <c r="C17" s="5" t="n">
        <v>6</v>
      </c>
      <c r="D17" s="7" t="n">
        <v>5.5</v>
      </c>
      <c r="E17" s="7" t="n">
        <v>5.8</v>
      </c>
      <c r="F17" s="5" t="n">
        <v>7.3</v>
      </c>
    </row>
    <row r="18">
      <c r="A18" s="3" t="inlineStr">
        <is>
          <t>미래 가치 (10%)</t>
        </is>
      </c>
      <c r="B18" s="4" t="n">
        <v>10</v>
      </c>
      <c r="C18" s="4" t="n">
        <v>8</v>
      </c>
      <c r="D18" s="5" t="n">
        <v>7</v>
      </c>
      <c r="E18" s="5" t="n">
        <v>6</v>
      </c>
      <c r="F18" s="7" t="n">
        <v>5</v>
      </c>
    </row>
    <row r="19">
      <c r="A19" s="9" t="inlineStr">
        <is>
          <t>가중 종합점수 (100점환산)</t>
        </is>
      </c>
      <c r="B19" s="38" t="n">
        <v>75.7</v>
      </c>
      <c r="C19" s="38" t="n">
        <v>69.8</v>
      </c>
      <c r="D19" s="38" t="n">
        <v>65.5</v>
      </c>
      <c r="E19" s="38" t="n">
        <v>63</v>
      </c>
      <c r="F19" s="38" t="n">
        <v>67.3</v>
      </c>
    </row>
    <row r="20">
      <c r="A20" s="9" t="inlineStr">
        <is>
          <t>최종 투자 추천 순위</t>
        </is>
      </c>
      <c r="B20" s="39" t="inlineStr">
        <is>
          <t>1위</t>
        </is>
      </c>
      <c r="C20" s="40" t="inlineStr">
        <is>
          <t>2위</t>
        </is>
      </c>
      <c r="D20" s="41" t="inlineStr">
        <is>
          <t>4위</t>
        </is>
      </c>
      <c r="E20" s="41" t="inlineStr">
        <is>
          <t>5위</t>
        </is>
      </c>
      <c r="F20" s="42" t="inlineStr">
        <is>
          <t>3위</t>
        </is>
      </c>
    </row>
    <row r="22" ht="30" customHeight="1">
      <c r="A22" s="43" t="inlineStr">
        <is>
          <t>[핵심 결론 및 전략적 제언]</t>
        </is>
      </c>
    </row>
    <row r="23">
      <c r="A23" s="44" t="inlineStr">
        <is>
          <t>1. [최고 ROI] 우성4차: 가장 빠른 사업진행(2029년 준공)+낮은 매입가→단기 수익률 최고</t>
        </is>
      </c>
    </row>
    <row r="24">
      <c r="A24" s="44" t="inlineStr">
        <is>
          <t xml:space="preserve">   → 22억 매입 후 3년 내 35억 달성 가능, 연환산 ROI 약 6.8%</t>
        </is>
      </c>
    </row>
    <row r="25">
      <c r="A25" s="44" t="inlineStr"/>
    </row>
    <row r="26">
      <c r="A26" s="44" t="inlineStr">
        <is>
          <t>2. [밸런스] 장미1·2차: 한강조망+적정가+중기 수익률의 균형 잡힌 선택지</t>
        </is>
      </c>
    </row>
    <row r="27">
      <c r="A27" s="44" t="inlineStr">
        <is>
          <t xml:space="preserve">   → 26.5억 매입, 한강변 프리미엄으로 42억+ 기대, ROI 5~8%</t>
        </is>
      </c>
    </row>
    <row r="28">
      <c r="A28" s="44" t="inlineStr"/>
    </row>
    <row r="29">
      <c r="A29" s="44" t="inlineStr">
        <is>
          <t>3. [트로피 자산] 잠실주공5단지: 최고 입지/브랜드이나 현재 매입가에 프리미엄 과반영</t>
        </is>
      </c>
    </row>
    <row r="30">
      <c r="A30" s="44" t="inlineStr">
        <is>
          <t xml:space="preserve">   → 45억 매입가 대비 순수익 제한적, 자산가치 보전+α 전략에 적합</t>
        </is>
      </c>
    </row>
    <row r="31">
      <c r="A31" s="44" t="inlineStr"/>
    </row>
    <row r="32">
      <c r="A32" s="44" t="inlineStr">
        <is>
          <t>4. [전략] 투자 가용 자금이 충분하다면 우성4차+장미1·2차 분산투자 고려</t>
        </is>
      </c>
    </row>
    <row r="33">
      <c r="A33" s="44" t="inlineStr">
        <is>
          <t xml:space="preserve">   → 총 48.5억으로 두 단지 분산, 리스크 분산+수익 극대화</t>
        </is>
      </c>
    </row>
    <row r="34">
      <c r="A34" s="44" t="inlineStr"/>
    </row>
    <row r="35">
      <c r="A35" s="44" t="inlineStr">
        <is>
          <t>5. [주의] 토지거래허가제(2026.06까지)+재초환+보유세 강화는 모든 단지 공통 리스크</t>
        </is>
      </c>
    </row>
    <row r="36">
      <c r="A36" s="44" t="inlineStr">
        <is>
          <t xml:space="preserve">   → 매입 전 실거주 계획 및 세금 시뮬레이션 필수</t>
        </is>
      </c>
    </row>
    <row r="37">
      <c r="A37" s="44" t="inlineStr"/>
    </row>
    <row r="38">
      <c r="A38" s="44" t="inlineStr">
        <is>
          <t>6. [타이밍] 우성4차는 관리처분인가 임박→매입 타이밍 중요 (지금이 적기)</t>
        </is>
      </c>
    </row>
    <row r="39">
      <c r="A39" s="44" t="inlineStr">
        <is>
          <t xml:space="preserve">   장미1·2차/우성1·2·3차는 시공사 선정 전후가 매입 적기</t>
        </is>
      </c>
    </row>
    <row r="41">
      <c r="A41" s="45" t="inlineStr">
        <is>
          <t>※ 본 분석은 2026년 2월 기준 공개 데이터 및 시장 정보를 바탕으로 작성되었으며, 투자 판단의 참고자료입니다. 실제 투자 시 전문가 상담을 권장합니다.</t>
        </is>
      </c>
    </row>
  </sheetData>
  <mergeCells count="22">
    <mergeCell ref="A41:F41"/>
    <mergeCell ref="A37:F37"/>
    <mergeCell ref="A27:F27"/>
    <mergeCell ref="A12:F12"/>
    <mergeCell ref="A26:F26"/>
    <mergeCell ref="A3:F3"/>
    <mergeCell ref="A33:F33"/>
    <mergeCell ref="A23:F23"/>
    <mergeCell ref="A32:F32"/>
    <mergeCell ref="A22:F22"/>
    <mergeCell ref="A35:F35"/>
    <mergeCell ref="A29:F29"/>
    <mergeCell ref="A38:F38"/>
    <mergeCell ref="A28:F28"/>
    <mergeCell ref="A31:F31"/>
    <mergeCell ref="A34:F34"/>
    <mergeCell ref="A30:F30"/>
    <mergeCell ref="A39:F39"/>
    <mergeCell ref="A24:F24"/>
    <mergeCell ref="A36:F36"/>
    <mergeCell ref="A1:F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2026-02-19T06:13:36Z</dcterms:created>
  <dcterms:modified xsi:type="dcterms:W3CDTF">2026-02-19T06:13:36Z</dcterms:modified>
</cp:coreProperties>
</file>