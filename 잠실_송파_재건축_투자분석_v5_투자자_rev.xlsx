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대시보드" sheetId="1" state="visible" r:id="rId1"/>
    <sheet name="종합 스코어카드" sheetId="2" state="visible" r:id="rId2"/>
    <sheet name="단지별 기본정보" sheetId="3" state="visible" r:id="rId3"/>
    <sheet name="재건축 진행현황" sheetId="4" state="visible" r:id="rId4"/>
    <sheet name="시세 및 가격분석" sheetId="5" state="visible" r:id="rId5"/>
    <sheet name="수익성 시뮬레이션" sheetId="6" state="visible" r:id="rId6"/>
    <sheet name="비용구조 분석" sheetId="7" state="visible" r:id="rId7"/>
    <sheet name="리스크 매트릭스" sheetId="8" state="visible" r:id="rId8"/>
    <sheet name="벤치마크" sheetId="9" state="visible" r:id="rId9"/>
    <sheet name="시나리오 분석" sheetId="10" state="visible" r:id="rId10"/>
    <sheet name="시나리오_방법론" sheetId="11" state="visible" r:id="rId11"/>
    <sheet name="현금흐름 분석" sheetId="12" state="visible" r:id="rId12"/>
    <sheet name="세금 시뮬레이션" sheetId="13" state="visible" r:id="rId13"/>
    <sheet name="대출 레버리지 분석" sheetId="14" state="visible" r:id="rId14"/>
    <sheet name="주변시세 비교" sheetId="15" state="visible" r:id="rId15"/>
    <sheet name="정책규제 영향" sheetId="16" state="visible" r:id="rId16"/>
    <sheet name="타임라인 로드맵" sheetId="17" state="visible" r:id="rId17"/>
    <sheet name="송파구 전체 정비사업" sheetId="18" state="visible" r:id="rId18"/>
    <sheet name="현실검증_출처" sheetId="19" state="visible" r:id="rId19"/>
    <sheet name="최종 투자 판단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1B2A4A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E74C3C"/>
      <sz val="10"/>
    </font>
    <font>
      <name val="맑은 고딕"/>
      <b val="1"/>
      <color rgb="0027AE60"/>
      <sz val="10"/>
    </font>
    <font>
      <name val="맑은 고딕"/>
      <b val="1"/>
      <sz val="11"/>
    </font>
    <font>
      <name val="맑은 고딕"/>
      <b val="1"/>
      <color rgb="001B2A4A"/>
      <sz val="10"/>
    </font>
    <font>
      <name val="맑은 고딕"/>
      <b val="1"/>
      <sz val="12"/>
    </font>
    <font>
      <name val="맑은 고딕"/>
      <b val="1"/>
      <color rgb="00FFFFFF"/>
      <sz val="13"/>
    </font>
    <font>
      <name val="맑은 고딕"/>
      <color rgb="00666666"/>
      <sz val="9"/>
    </font>
    <font>
      <name val="맑은 고딕"/>
      <b val="1"/>
      <sz val="9"/>
    </font>
    <font>
      <name val="맑은 고딕"/>
      <b val="1"/>
      <sz val="13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FAF1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C9A84C"/>
      </patternFill>
    </fill>
    <fill>
      <patternFill patternType="solid">
        <fgColor rgb="00FFD700"/>
      </patternFill>
    </fill>
    <fill>
      <patternFill patternType="solid">
        <fgColor rgb="00CD7F32"/>
      </patternFill>
    </fill>
    <fill>
      <patternFill patternType="solid">
        <fgColor rgb="00C0C0C0"/>
      </patternFill>
    </fill>
    <fill>
      <patternFill patternType="solid">
        <fgColor rgb="0027AE60"/>
      </patternFill>
    </fill>
    <fill>
      <patternFill patternType="solid">
        <fgColor rgb="003498DB"/>
      </patternFill>
    </fill>
    <fill>
      <patternFill patternType="solid">
        <fgColor rgb="00E74C3C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1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8" fillId="10" borderId="0" pivotButton="0" quotePrefix="0" xfId="0"/>
    <xf numFmtId="0" fontId="10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2" fillId="0" borderId="0" pivotButton="0" quotePrefix="0" xfId="0"/>
    <xf numFmtId="0" fontId="11" fillId="14" borderId="0" pivotButton="0" quotePrefix="0" xfId="0"/>
    <xf numFmtId="0" fontId="11" fillId="15" borderId="0" pivotButton="0" quotePrefix="0" xfId="0"/>
    <xf numFmtId="0" fontId="11" fillId="16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2" fillId="10" borderId="0" pivotButton="0" quotePrefix="0" xfId="0"/>
    <xf numFmtId="0" fontId="12" fillId="17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8" fillId="4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center" vertical="center" wrapText="1"/>
    </xf>
    <xf numFmtId="0" fontId="1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ROI(중립, 총투자비)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 대시보드'!B26</f>
            </strRef>
          </tx>
          <spPr>
            <a:ln>
              <a:prstDash val="solid"/>
            </a:ln>
          </spPr>
          <cat>
            <numRef>
              <f>'종합 대시보드'!$A$27:$A$34</f>
            </numRef>
          </cat>
          <val>
            <numRef>
              <f>'종합 대시보드'!$B$27:$B$34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카테고리별 투자 역량 비교 (8개 단지)</a:t>
            </a:r>
          </a:p>
        </rich>
      </tx>
    </title>
    <plotArea>
      <radarChart>
        <radarStyle val="filled"/>
        <ser>
          <idx val="0"/>
          <order val="0"/>
          <tx>
            <strRef>
              <f>'종합 스코어카드'!B36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스코어카드'!$B$37:$B$41</f>
            </numRef>
          </val>
        </ser>
        <ser>
          <idx val="1"/>
          <order val="1"/>
          <tx>
            <strRef>
              <f>'종합 스코어카드'!C36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스코어카드'!$C$37:$C$41</f>
            </numRef>
          </val>
        </ser>
        <ser>
          <idx val="2"/>
          <order val="2"/>
          <tx>
            <strRef>
              <f>'종합 스코어카드'!D36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스코어카드'!$D$37:$D$41</f>
            </numRef>
          </val>
        </ser>
        <ser>
          <idx val="3"/>
          <order val="3"/>
          <tx>
            <strRef>
              <f>'종합 스코어카드'!E36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스코어카드'!$E$37:$E$41</f>
            </numRef>
          </val>
        </ser>
        <ser>
          <idx val="4"/>
          <order val="4"/>
          <tx>
            <strRef>
              <f>'종합 스코어카드'!F36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스코어카드'!$F$37:$F$41</f>
            </numRef>
          </val>
        </ser>
        <ser>
          <idx val="5"/>
          <order val="5"/>
          <tx>
            <strRef>
              <f>'종합 스코어카드'!G36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스코어카드'!$G$37:$G$41</f>
            </numRef>
          </val>
        </ser>
        <ser>
          <idx val="6"/>
          <order val="6"/>
          <tx>
            <strRef>
              <f>'종합 스코어카드'!H36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스코어카드'!$H$37:$H$41</f>
            </numRef>
          </val>
        </ser>
        <ser>
          <idx val="7"/>
          <order val="7"/>
          <tx>
            <strRef>
              <f>'종합 스코어카드'!I36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스코어카드'!$I$37:$I$41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재건축 진행률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'재건축 진행현황'!B16</f>
            </strRef>
          </tx>
          <spPr>
            <a:ln>
              <a:prstDash val="solid"/>
            </a:ln>
          </spPr>
          <cat>
            <numRef>
              <f>'재건축 진행현황'!$A$17:$A$24</f>
            </numRef>
          </cat>
          <val>
            <numRef>
              <f>'재건축 진행현황'!$B$17:$B$24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매매가 추이 (전용 84m², 억원)</a:t>
            </a:r>
          </a:p>
        </rich>
      </tx>
    </title>
    <plotArea>
      <lineChart>
        <grouping val="standard"/>
        <ser>
          <idx val="0"/>
          <order val="0"/>
          <tx>
            <strRef>
              <f>'시세 및 가격분석'!B30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가격분석'!$B$31:$B$34</f>
            </numRef>
          </val>
        </ser>
        <ser>
          <idx val="1"/>
          <order val="1"/>
          <tx>
            <strRef>
              <f>'시세 및 가격분석'!C30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가격분석'!$C$31:$C$34</f>
            </numRef>
          </val>
        </ser>
        <ser>
          <idx val="2"/>
          <order val="2"/>
          <tx>
            <strRef>
              <f>'시세 및 가격분석'!D30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가격분석'!$D$31:$D$34</f>
            </numRef>
          </val>
        </ser>
        <ser>
          <idx val="3"/>
          <order val="3"/>
          <tx>
            <strRef>
              <f>'시세 및 가격분석'!E30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가격분석'!$E$31:$E$34</f>
            </numRef>
          </val>
        </ser>
        <ser>
          <idx val="4"/>
          <order val="4"/>
          <tx>
            <strRef>
              <f>'시세 및 가격분석'!F30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가격분석'!$F$31:$F$34</f>
            </numRef>
          </val>
        </ser>
        <ser>
          <idx val="5"/>
          <order val="5"/>
          <tx>
            <strRef>
              <f>'시세 및 가격분석'!G30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가격분석'!$G$31:$G$34</f>
            </numRef>
          </val>
        </ser>
        <ser>
          <idx val="6"/>
          <order val="6"/>
          <tx>
            <strRef>
              <f>'시세 및 가격분석'!H30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가격분석'!$H$31:$H$34</f>
            </numRef>
          </val>
        </ser>
        <ser>
          <idx val="7"/>
          <order val="7"/>
          <tx>
            <strRef>
              <f>'시세 및 가격분석'!I30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가격분석'!$I$31:$I$34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억원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시나리오별 ROI 비교(총투자비 기준,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'수익성 시뮬레이션'!B31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시뮬레이션'!$B$32:$B$39</f>
            </numRef>
          </val>
        </ser>
        <ser>
          <idx val="1"/>
          <order val="1"/>
          <tx>
            <strRef>
              <f>'수익성 시뮬레이션'!C31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시뮬레이션'!$C$32:$C$39</f>
            </numRef>
          </val>
        </ser>
        <ser>
          <idx val="2"/>
          <order val="2"/>
          <tx>
            <strRef>
              <f>'수익성 시뮬레이션'!D31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시뮬레이션'!$D$32:$D$39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LTV별 레버리지 ROI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'대출 레버리지 분석'!B25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분석'!$B$26:$B$28</f>
            </numRef>
          </val>
        </ser>
        <ser>
          <idx val="1"/>
          <order val="1"/>
          <tx>
            <strRef>
              <f>'대출 레버리지 분석'!C25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분석'!$C$26:$C$28</f>
            </numRef>
          </val>
        </ser>
        <ser>
          <idx val="2"/>
          <order val="2"/>
          <tx>
            <strRef>
              <f>'대출 레버리지 분석'!D25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분석'!$D$26:$D$28</f>
            </numRef>
          </val>
        </ser>
        <ser>
          <idx val="3"/>
          <order val="3"/>
          <tx>
            <strRef>
              <f>'대출 레버리지 분석'!E25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분석'!$E$26:$E$28</f>
            </numRef>
          </val>
        </ser>
        <ser>
          <idx val="4"/>
          <order val="4"/>
          <tx>
            <strRef>
              <f>'대출 레버리지 분석'!F25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분석'!$F$26:$F$28</f>
            </numRef>
          </val>
        </ser>
        <ser>
          <idx val="5"/>
          <order val="5"/>
          <tx>
            <strRef>
              <f>'대출 레버리지 분석'!G25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분석'!$G$26:$G$28</f>
            </numRef>
          </val>
        </ser>
        <ser>
          <idx val="6"/>
          <order val="6"/>
          <tx>
            <strRef>
              <f>'대출 레버리지 분석'!H25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분석'!$H$26:$H$28</f>
            </numRef>
          </val>
        </ser>
        <ser>
          <idx val="7"/>
          <order val="7"/>
          <tx>
            <strRef>
              <f>'대출 레버리지 분석'!I25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분석'!$I$26:$I$28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잠실/송파/강남권 매매가 비교 (전용 84m², 억원)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'주변시세 비교'!B26</f>
            </strRef>
          </tx>
          <spPr>
            <a:ln>
              <a:prstDash val="solid"/>
            </a:ln>
          </spPr>
          <cat>
            <numRef>
              <f>'주변시세 비교'!$A$27:$A$44</f>
            </numRef>
          </cat>
          <val>
            <numRef>
              <f>'주변시세 비교'!$B$27:$B$44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매매가 (억원)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25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9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115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6" customHeight="1">
      <c r="A1" s="1" t="inlineStr">
        <is>
          <t>잠실/송파 재건축 투자 종합 대시보드 (2026-02-19 / 투자자)</t>
        </is>
      </c>
    </row>
    <row r="3">
      <c r="A3" s="2" t="inlineStr">
        <is>
          <t>[핵심 지표 요약]</t>
        </is>
      </c>
    </row>
    <row r="4" ht="28" customHeight="1">
      <c r="A4" s="3" t="inlineStr">
        <is>
          <t>지표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  <c r="J4" s="3" t="inlineStr">
        <is>
          <t>비고</t>
        </is>
      </c>
    </row>
    <row r="5">
      <c r="A5" s="4" t="inlineStr">
        <is>
          <t>매매가(억)</t>
        </is>
      </c>
      <c r="B5" s="4" t="n">
        <v>39.26</v>
      </c>
      <c r="C5" s="4" t="n">
        <v>26.75</v>
      </c>
      <c r="D5" s="4" t="n">
        <v>25</v>
      </c>
      <c r="E5" s="4" t="n">
        <v>27.15</v>
      </c>
      <c r="F5" s="4" t="n">
        <v>21.51</v>
      </c>
      <c r="G5" s="4" t="n">
        <v>29.78</v>
      </c>
      <c r="H5" s="4" t="n">
        <v>25.2</v>
      </c>
      <c r="I5" s="4" t="n">
        <v>21.5</v>
      </c>
      <c r="J5" s="4" t="inlineStr">
        <is>
          <t>전용84m²</t>
        </is>
      </c>
    </row>
    <row r="6">
      <c r="A6" s="5" t="inlineStr">
        <is>
          <t>전세가율(%)</t>
        </is>
      </c>
      <c r="B6" s="5" t="n">
        <v>11.3</v>
      </c>
      <c r="C6" s="5" t="n">
        <v>22</v>
      </c>
      <c r="D6" s="5" t="n">
        <v>34</v>
      </c>
      <c r="E6" s="5" t="n">
        <v>19.8</v>
      </c>
      <c r="F6" s="5" t="n">
        <v>29.2</v>
      </c>
      <c r="G6" s="5" t="n">
        <v>24.8</v>
      </c>
      <c r="H6" s="5" t="n">
        <v>27.1</v>
      </c>
      <c r="I6" s="5" t="n">
        <v>30.7</v>
      </c>
      <c r="J6" s="5" t="inlineStr"/>
    </row>
    <row r="7">
      <c r="A7" s="4" t="inlineStr">
        <is>
          <t>재건축진행률(%)</t>
        </is>
      </c>
      <c r="B7" s="6" t="n">
        <v>65</v>
      </c>
      <c r="C7" s="7" t="n">
        <v>45</v>
      </c>
      <c r="D7" s="7" t="n">
        <v>40</v>
      </c>
      <c r="E7" s="6" t="n">
        <v>55</v>
      </c>
      <c r="F7" s="8" t="n">
        <v>70</v>
      </c>
      <c r="G7" s="9" t="n">
        <v>25</v>
      </c>
      <c r="H7" s="9" t="n">
        <v>20</v>
      </c>
      <c r="I7" s="9" t="n">
        <v>20</v>
      </c>
      <c r="J7" s="4" t="inlineStr"/>
    </row>
    <row r="8">
      <c r="A8" s="5" t="inlineStr">
        <is>
          <t>ROI 중립(총투자비,%)</t>
        </is>
      </c>
      <c r="B8" s="10" t="n">
        <v>-17.1</v>
      </c>
      <c r="C8" s="11" t="n">
        <v>2.4</v>
      </c>
      <c r="D8" s="11" t="n">
        <v>3.6</v>
      </c>
      <c r="E8" s="11" t="n">
        <v>2.7</v>
      </c>
      <c r="F8" s="11" t="n">
        <v>11.4</v>
      </c>
      <c r="G8" s="10" t="n">
        <v>-6.5</v>
      </c>
      <c r="H8" s="10" t="n">
        <v>-5.4</v>
      </c>
      <c r="I8" s="10" t="n">
        <v>-8.300000000000001</v>
      </c>
      <c r="J8" s="5" t="inlineStr"/>
    </row>
    <row r="9">
      <c r="A9" s="12" t="inlineStr">
        <is>
          <t>종합점수</t>
        </is>
      </c>
      <c r="B9" s="13" t="n">
        <v>7.38</v>
      </c>
      <c r="C9" s="13" t="n">
        <v>6.86</v>
      </c>
      <c r="D9" s="13" t="n">
        <v>6.42</v>
      </c>
      <c r="E9" s="13" t="n">
        <v>6.72</v>
      </c>
      <c r="F9" s="13" t="n">
        <v>7.01</v>
      </c>
      <c r="G9" s="14" t="n">
        <v>5.77</v>
      </c>
      <c r="H9" s="14" t="n">
        <v>5.88</v>
      </c>
      <c r="I9" s="14" t="n">
        <v>5.78</v>
      </c>
      <c r="J9" s="12" t="inlineStr">
        <is>
          <t>가중평균</t>
        </is>
      </c>
    </row>
    <row r="11">
      <c r="A11" s="2" t="inlineStr">
        <is>
          <t>[투자자 유형별 TOP3 추천]</t>
        </is>
      </c>
    </row>
    <row r="12" ht="28" customHeight="1">
      <c r="A12" s="3" t="inlineStr">
        <is>
          <t>투자자 유형</t>
        </is>
      </c>
      <c r="B12" s="3" t="inlineStr">
        <is>
          <t>1순위</t>
        </is>
      </c>
      <c r="C12" s="3" t="inlineStr">
        <is>
          <t>2순위</t>
        </is>
      </c>
      <c r="D12" s="3" t="inlineStr">
        <is>
          <t>3순위</t>
        </is>
      </c>
      <c r="E12" s="3" t="inlineStr">
        <is>
          <t>추천 사유</t>
        </is>
      </c>
    </row>
    <row r="13">
      <c r="A13" s="4" t="inlineStr">
        <is>
          <t>공격적(고수익추구)</t>
        </is>
      </c>
      <c r="B13" s="4" t="inlineStr">
        <is>
          <t>우성4차</t>
        </is>
      </c>
      <c r="C13" s="4" t="inlineStr">
        <is>
          <t>장미1·2차</t>
        </is>
      </c>
      <c r="D13" s="4" t="inlineStr">
        <is>
          <t>올림픽선수촌</t>
        </is>
      </c>
      <c r="E13" s="4" t="inlineStr">
        <is>
          <t>사업속도/가격매력/개발잠재력 조합</t>
        </is>
      </c>
    </row>
    <row r="14">
      <c r="A14" s="5" t="inlineStr">
        <is>
          <t>안정적(자산보전)</t>
        </is>
      </c>
      <c r="B14" s="5" t="inlineStr">
        <is>
          <t>장미1·2차</t>
        </is>
      </c>
      <c r="C14" s="5" t="inlineStr">
        <is>
          <t>우성1·2·3차</t>
        </is>
      </c>
      <c r="D14" s="5" t="inlineStr">
        <is>
          <t>잠실주공5단지</t>
        </is>
      </c>
      <c r="E14" s="5" t="inlineStr">
        <is>
          <t>현금흐름·입지·유동성 균형</t>
        </is>
      </c>
    </row>
    <row r="15">
      <c r="A15" s="4" t="inlineStr">
        <is>
          <t>데이터확신형</t>
        </is>
      </c>
      <c r="B15" s="4" t="inlineStr">
        <is>
          <t>올림픽훼밀리</t>
        </is>
      </c>
      <c r="C15" s="4" t="inlineStr">
        <is>
          <t>장미1·2차</t>
        </is>
      </c>
      <c r="D15" s="4" t="inlineStr">
        <is>
          <t>올림픽선수촌</t>
        </is>
      </c>
      <c r="E15" s="4" t="inlineStr">
        <is>
          <t>최근 12개월 실거래 표본이 상대적으로 풍부</t>
        </is>
      </c>
    </row>
    <row r="17">
      <c r="A17" s="2" t="inlineStr">
        <is>
          <t>[시장 환경 요약]</t>
        </is>
      </c>
    </row>
    <row r="18" ht="28" customHeight="1">
      <c r="A18" s="3" t="inlineStr">
        <is>
          <t>항목</t>
        </is>
      </c>
      <c r="B18" s="3" t="inlineStr">
        <is>
          <t>현황</t>
        </is>
      </c>
      <c r="C18" s="3" t="inlineStr">
        <is>
          <t>투자 영향</t>
        </is>
      </c>
    </row>
    <row r="19">
      <c r="A19" s="4" t="inlineStr">
        <is>
          <t>기준금리</t>
        </is>
      </c>
      <c r="B19" s="4" t="inlineStr">
        <is>
          <t>연 2.50% (한국은행, 2025-05-29 이후)</t>
        </is>
      </c>
      <c r="C19" s="4" t="inlineStr">
        <is>
          <t>차입비용 완화 요인이나 레버리지 과신 금지</t>
        </is>
      </c>
    </row>
    <row r="20">
      <c r="A20" s="5" t="inlineStr">
        <is>
          <t>토지거래허가구역</t>
        </is>
      </c>
      <c r="B20" s="5" t="inlineStr">
        <is>
          <t>강남·서초·송파·용산 아파트, 2026-12-31까지</t>
        </is>
      </c>
      <c r="C20" s="5" t="inlineStr">
        <is>
          <t>실거주 의무로 전세 레버리지 제약</t>
        </is>
      </c>
    </row>
    <row r="21">
      <c r="A21" s="4" t="inlineStr">
        <is>
          <t>스트레스 DSR 3단계</t>
        </is>
      </c>
      <c r="B21" s="4" t="inlineStr">
        <is>
          <t>금융위 2025-06-11 발표</t>
        </is>
      </c>
      <c r="C21" s="4" t="inlineStr">
        <is>
          <t>대출한도 축소로 진입 속도 차별화</t>
        </is>
      </c>
    </row>
    <row r="22">
      <c r="A22" s="5" t="inlineStr">
        <is>
          <t>가계부채/주택리스크</t>
        </is>
      </c>
      <c r="B22" s="5" t="inlineStr">
        <is>
          <t>한은 금융안정보고서(2025.06) 경계</t>
        </is>
      </c>
      <c r="C22" s="5" t="inlineStr">
        <is>
          <t>가격 급등 구간 변동성 확대</t>
        </is>
      </c>
    </row>
    <row r="23">
      <c r="A23" s="4" t="inlineStr">
        <is>
          <t>정책조합 시사점</t>
        </is>
      </c>
      <c r="B23" s="4" t="inlineStr">
        <is>
          <t>연구: 수요억제 단독보다 공급확대 병행이 유효</t>
        </is>
      </c>
      <c r="C23" s="4" t="inlineStr">
        <is>
          <t>중장기 공급 타이밍 체크 필요</t>
        </is>
      </c>
    </row>
    <row r="26">
      <c r="A26" s="15" t="inlineStr">
        <is>
          <t>단지명</t>
        </is>
      </c>
      <c r="B26" s="15" t="inlineStr">
        <is>
          <t>ROI 중립(총투자비,%)</t>
        </is>
      </c>
    </row>
    <row r="27">
      <c r="A27" t="inlineStr">
        <is>
          <t>주공5</t>
        </is>
      </c>
      <c r="B27" t="n">
        <v>-17.1</v>
      </c>
    </row>
    <row r="28">
      <c r="A28" t="inlineStr">
        <is>
          <t>장미1·2</t>
        </is>
      </c>
      <c r="B28" t="n">
        <v>2.4</v>
      </c>
    </row>
    <row r="29">
      <c r="A29" t="inlineStr">
        <is>
          <t>장미3</t>
        </is>
      </c>
      <c r="B29" t="n">
        <v>3.6</v>
      </c>
    </row>
    <row r="30">
      <c r="A30" t="inlineStr">
        <is>
          <t>우성1·2·3</t>
        </is>
      </c>
      <c r="B30" t="n">
        <v>2.7</v>
      </c>
    </row>
    <row r="31">
      <c r="A31" t="inlineStr">
        <is>
          <t>우성4</t>
        </is>
      </c>
      <c r="B31" t="n">
        <v>11.4</v>
      </c>
    </row>
    <row r="32">
      <c r="A32" t="inlineStr">
        <is>
          <t>아시아</t>
        </is>
      </c>
      <c r="B32" t="n">
        <v>-6.5</v>
      </c>
    </row>
    <row r="33">
      <c r="A33" t="inlineStr">
        <is>
          <t>선수촌</t>
        </is>
      </c>
      <c r="B33" t="n">
        <v>-5.4</v>
      </c>
    </row>
    <row r="34">
      <c r="A34" t="inlineStr">
        <is>
          <t>훼밀리</t>
        </is>
      </c>
      <c r="B34" t="n">
        <v>-8.300000000000001</v>
      </c>
    </row>
  </sheetData>
  <mergeCells count="4">
    <mergeCell ref="A17:J17"/>
    <mergeCell ref="A1:J1"/>
    <mergeCell ref="A3:J3"/>
    <mergeCell ref="A11:J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잠실/송파 재건축 다차원 투자 스코어카드 (8개 단지)</t>
        </is>
      </c>
    </row>
    <row r="3" ht="28" customHeight="1">
      <c r="A3" s="3" t="inlineStr">
        <is>
          <t>평가 팩터</t>
        </is>
      </c>
      <c r="B3" s="3" t="inlineStr">
        <is>
          <t>가중치</t>
        </is>
      </c>
      <c r="C3" s="3" t="inlineStr">
        <is>
          <t>주공5</t>
        </is>
      </c>
      <c r="D3" s="3" t="inlineStr">
        <is>
          <t>장미1·2</t>
        </is>
      </c>
      <c r="E3" s="3" t="inlineStr">
        <is>
          <t>장미3</t>
        </is>
      </c>
      <c r="F3" s="3" t="inlineStr">
        <is>
          <t>우성1·2·3</t>
        </is>
      </c>
      <c r="G3" s="3" t="inlineStr">
        <is>
          <t>우성4</t>
        </is>
      </c>
      <c r="H3" s="3" t="inlineStr">
        <is>
          <t>아시아</t>
        </is>
      </c>
      <c r="I3" s="3" t="inlineStr">
        <is>
          <t>선수촌</t>
        </is>
      </c>
      <c r="J3" s="3" t="inlineStr">
        <is>
          <t>훼밀리</t>
        </is>
      </c>
      <c r="K3" s="3" t="inlineStr">
        <is>
          <t>비고</t>
        </is>
      </c>
    </row>
    <row r="4">
      <c r="A4" s="4" t="inlineStr">
        <is>
          <t>입지 프리미엄</t>
        </is>
      </c>
      <c r="B4" s="4" t="n">
        <v>10</v>
      </c>
      <c r="C4" s="8" t="n">
        <v>10</v>
      </c>
      <c r="D4" s="8" t="n">
        <v>9</v>
      </c>
      <c r="E4" s="8" t="n">
        <v>8</v>
      </c>
      <c r="F4" s="8" t="n">
        <v>8</v>
      </c>
      <c r="G4" s="6" t="n">
        <v>7</v>
      </c>
      <c r="H4" s="8" t="n">
        <v>9</v>
      </c>
      <c r="I4" s="8" t="n">
        <v>8</v>
      </c>
      <c r="J4" s="6" t="n">
        <v>7</v>
      </c>
      <c r="K4" s="4" t="inlineStr"/>
    </row>
    <row r="5">
      <c r="A5" s="5" t="inlineStr">
        <is>
          <t>역세권 접근성</t>
        </is>
      </c>
      <c r="B5" s="5" t="n">
        <v>7</v>
      </c>
      <c r="C5" s="8" t="n">
        <v>10</v>
      </c>
      <c r="D5" s="8" t="n">
        <v>8</v>
      </c>
      <c r="E5" s="6" t="n">
        <v>7</v>
      </c>
      <c r="F5" s="6" t="n">
        <v>7</v>
      </c>
      <c r="G5" s="6" t="n">
        <v>7</v>
      </c>
      <c r="H5" s="8" t="n">
        <v>8</v>
      </c>
      <c r="I5" s="6" t="n">
        <v>7</v>
      </c>
      <c r="J5" s="8" t="n">
        <v>8</v>
      </c>
      <c r="K5" s="5" t="inlineStr"/>
    </row>
    <row r="6">
      <c r="A6" s="4" t="inlineStr">
        <is>
          <t>한강 조망</t>
        </is>
      </c>
      <c r="B6" s="4" t="n">
        <v>4</v>
      </c>
      <c r="C6" s="8" t="n">
        <v>9</v>
      </c>
      <c r="D6" s="8" t="n">
        <v>10</v>
      </c>
      <c r="E6" s="8" t="n">
        <v>9</v>
      </c>
      <c r="F6" s="6" t="n">
        <v>6</v>
      </c>
      <c r="G6" s="7" t="n">
        <v>5</v>
      </c>
      <c r="H6" s="7" t="n">
        <v>5</v>
      </c>
      <c r="I6" s="7" t="n">
        <v>4</v>
      </c>
      <c r="J6" s="9" t="n">
        <v>3</v>
      </c>
      <c r="K6" s="4" t="inlineStr"/>
    </row>
    <row r="7">
      <c r="A7" s="5" t="inlineStr">
        <is>
          <t>학군</t>
        </is>
      </c>
      <c r="B7" s="5" t="n">
        <v>5</v>
      </c>
      <c r="C7" s="8" t="n">
        <v>8</v>
      </c>
      <c r="D7" s="8" t="n">
        <v>8</v>
      </c>
      <c r="E7" s="8" t="n">
        <v>8</v>
      </c>
      <c r="F7" s="8" t="n">
        <v>8</v>
      </c>
      <c r="G7" s="8" t="n">
        <v>8</v>
      </c>
      <c r="H7" s="8" t="n">
        <v>8</v>
      </c>
      <c r="I7" s="6" t="n">
        <v>7</v>
      </c>
      <c r="J7" s="6" t="n">
        <v>7</v>
      </c>
      <c r="K7" s="5" t="inlineStr"/>
    </row>
    <row r="8">
      <c r="A8" s="4" t="inlineStr">
        <is>
          <t>생활 인프라</t>
        </is>
      </c>
      <c r="B8" s="4" t="n">
        <v>5</v>
      </c>
      <c r="C8" s="8" t="n">
        <v>9</v>
      </c>
      <c r="D8" s="8" t="n">
        <v>8</v>
      </c>
      <c r="E8" s="8" t="n">
        <v>8</v>
      </c>
      <c r="F8" s="8" t="n">
        <v>8</v>
      </c>
      <c r="G8" s="8" t="n">
        <v>8</v>
      </c>
      <c r="H8" s="8" t="n">
        <v>8</v>
      </c>
      <c r="I8" s="8" t="n">
        <v>8</v>
      </c>
      <c r="J8" s="6" t="n">
        <v>7</v>
      </c>
      <c r="K8" s="4" t="inlineStr"/>
    </row>
    <row r="9">
      <c r="A9" s="5" t="inlineStr">
        <is>
          <t>대형 개발호재</t>
        </is>
      </c>
      <c r="B9" s="5" t="n">
        <v>6</v>
      </c>
      <c r="C9" s="8" t="n">
        <v>10</v>
      </c>
      <c r="D9" s="8" t="n">
        <v>8</v>
      </c>
      <c r="E9" s="8" t="n">
        <v>8</v>
      </c>
      <c r="F9" s="6" t="n">
        <v>7</v>
      </c>
      <c r="G9" s="6" t="n">
        <v>7</v>
      </c>
      <c r="H9" s="8" t="n">
        <v>9</v>
      </c>
      <c r="I9" s="8" t="n">
        <v>8</v>
      </c>
      <c r="J9" s="6" t="n">
        <v>6</v>
      </c>
      <c r="K9" s="5" t="inlineStr"/>
    </row>
    <row r="10">
      <c r="A10" s="4" t="inlineStr">
        <is>
          <t>재건축 진행도</t>
        </is>
      </c>
      <c r="B10" s="4" t="n">
        <v>10</v>
      </c>
      <c r="C10" s="6" t="n">
        <v>7</v>
      </c>
      <c r="D10" s="7" t="n">
        <v>5</v>
      </c>
      <c r="E10" s="7" t="n">
        <v>4</v>
      </c>
      <c r="F10" s="6" t="n">
        <v>6</v>
      </c>
      <c r="G10" s="8" t="n">
        <v>8</v>
      </c>
      <c r="H10" s="9" t="n">
        <v>3</v>
      </c>
      <c r="I10" s="9" t="n">
        <v>2</v>
      </c>
      <c r="J10" s="9" t="n">
        <v>2</v>
      </c>
      <c r="K10" s="4" t="inlineStr"/>
    </row>
    <row r="11">
      <c r="A11" s="5" t="inlineStr">
        <is>
          <t>시공사 신뢰도</t>
        </is>
      </c>
      <c r="B11" s="5" t="n">
        <v>7</v>
      </c>
      <c r="C11" s="8" t="n">
        <v>10</v>
      </c>
      <c r="D11" s="7" t="n">
        <v>5</v>
      </c>
      <c r="E11" s="7" t="n">
        <v>5</v>
      </c>
      <c r="F11" s="8" t="n">
        <v>8</v>
      </c>
      <c r="G11" s="6" t="n">
        <v>7</v>
      </c>
      <c r="H11" s="7" t="n">
        <v>4</v>
      </c>
      <c r="I11" s="7" t="n">
        <v>4</v>
      </c>
      <c r="J11" s="7" t="n">
        <v>4</v>
      </c>
      <c r="K11" s="5" t="inlineStr"/>
    </row>
    <row r="12">
      <c r="A12" s="4" t="inlineStr">
        <is>
          <t>브랜드 가치</t>
        </is>
      </c>
      <c r="B12" s="4" t="n">
        <v>5</v>
      </c>
      <c r="C12" s="8" t="n">
        <v>10</v>
      </c>
      <c r="D12" s="7" t="n">
        <v>5</v>
      </c>
      <c r="E12" s="7" t="n">
        <v>5</v>
      </c>
      <c r="F12" s="6" t="n">
        <v>7</v>
      </c>
      <c r="G12" s="6" t="n">
        <v>7</v>
      </c>
      <c r="H12" s="7" t="n">
        <v>4</v>
      </c>
      <c r="I12" s="7" t="n">
        <v>4</v>
      </c>
      <c r="J12" s="7" t="n">
        <v>4</v>
      </c>
      <c r="K12" s="4" t="inlineStr"/>
    </row>
    <row r="13">
      <c r="A13" s="5" t="inlineStr">
        <is>
          <t>단지 규모</t>
        </is>
      </c>
      <c r="B13" s="5" t="n">
        <v>4</v>
      </c>
      <c r="C13" s="8" t="n">
        <v>10</v>
      </c>
      <c r="D13" s="8" t="n">
        <v>8</v>
      </c>
      <c r="E13" s="6" t="n">
        <v>7</v>
      </c>
      <c r="F13" s="6" t="n">
        <v>7</v>
      </c>
      <c r="G13" s="7" t="n">
        <v>4</v>
      </c>
      <c r="H13" s="8" t="n">
        <v>8</v>
      </c>
      <c r="I13" s="8" t="n">
        <v>10</v>
      </c>
      <c r="J13" s="8" t="n">
        <v>9</v>
      </c>
      <c r="K13" s="5" t="inlineStr"/>
    </row>
    <row r="14">
      <c r="A14" s="4" t="inlineStr">
        <is>
          <t>가격 매력도</t>
        </is>
      </c>
      <c r="B14" s="4" t="n">
        <v>10</v>
      </c>
      <c r="C14" s="9" t="n">
        <v>3</v>
      </c>
      <c r="D14" s="6" t="n">
        <v>7</v>
      </c>
      <c r="E14" s="8" t="n">
        <v>8</v>
      </c>
      <c r="F14" s="6" t="n">
        <v>7</v>
      </c>
      <c r="G14" s="8" t="n">
        <v>9</v>
      </c>
      <c r="H14" s="6" t="n">
        <v>6</v>
      </c>
      <c r="I14" s="8" t="n">
        <v>8</v>
      </c>
      <c r="J14" s="8" t="n">
        <v>9</v>
      </c>
      <c r="K14" s="4" t="inlineStr"/>
    </row>
    <row r="15">
      <c r="A15" s="5" t="inlineStr">
        <is>
          <t>전세가율(갭)</t>
        </is>
      </c>
      <c r="B15" s="5" t="n">
        <v>6</v>
      </c>
      <c r="C15" s="7" t="n">
        <v>4</v>
      </c>
      <c r="D15" s="6" t="n">
        <v>6</v>
      </c>
      <c r="E15" s="8" t="n">
        <v>8</v>
      </c>
      <c r="F15" s="7" t="n">
        <v>5</v>
      </c>
      <c r="G15" s="6" t="n">
        <v>7</v>
      </c>
      <c r="H15" s="6" t="n">
        <v>6</v>
      </c>
      <c r="I15" s="6" t="n">
        <v>7</v>
      </c>
      <c r="J15" s="8" t="n">
        <v>8</v>
      </c>
      <c r="K15" s="5" t="inlineStr"/>
    </row>
    <row r="16">
      <c r="A16" s="4" t="inlineStr">
        <is>
          <t>기대 수익률</t>
        </is>
      </c>
      <c r="B16" s="4" t="n">
        <v>12</v>
      </c>
      <c r="C16" s="7" t="n">
        <v>4</v>
      </c>
      <c r="D16" s="6" t="n">
        <v>6</v>
      </c>
      <c r="E16" s="6" t="n">
        <v>6</v>
      </c>
      <c r="F16" s="6" t="n">
        <v>6</v>
      </c>
      <c r="G16" s="6" t="n">
        <v>7</v>
      </c>
      <c r="H16" s="7" t="n">
        <v>4</v>
      </c>
      <c r="I16" s="7" t="n">
        <v>4</v>
      </c>
      <c r="J16" s="7" t="n">
        <v>4</v>
      </c>
      <c r="K16" s="4" t="inlineStr"/>
    </row>
    <row r="17">
      <c r="A17" s="5" t="inlineStr">
        <is>
          <t>유동성</t>
        </is>
      </c>
      <c r="B17" s="5" t="n">
        <v>4</v>
      </c>
      <c r="C17" s="8" t="n">
        <v>8</v>
      </c>
      <c r="D17" s="8" t="n">
        <v>8</v>
      </c>
      <c r="E17" s="7" t="n">
        <v>4</v>
      </c>
      <c r="F17" s="6" t="n">
        <v>6</v>
      </c>
      <c r="G17" s="7" t="n">
        <v>5</v>
      </c>
      <c r="H17" s="7" t="n">
        <v>5</v>
      </c>
      <c r="I17" s="8" t="n">
        <v>8</v>
      </c>
      <c r="J17" s="8" t="n">
        <v>8</v>
      </c>
      <c r="K17" s="5" t="inlineStr"/>
    </row>
    <row r="18">
      <c r="A18" s="4" t="inlineStr">
        <is>
          <t>리스크 안정성</t>
        </is>
      </c>
      <c r="B18" s="4" t="n">
        <v>8</v>
      </c>
      <c r="C18" s="8" t="n">
        <v>8</v>
      </c>
      <c r="D18" s="6" t="n">
        <v>6</v>
      </c>
      <c r="E18" s="7" t="n">
        <v>4</v>
      </c>
      <c r="F18" s="6" t="n">
        <v>6</v>
      </c>
      <c r="G18" s="6" t="n">
        <v>6</v>
      </c>
      <c r="H18" s="9" t="n">
        <v>3</v>
      </c>
      <c r="I18" s="7" t="n">
        <v>5</v>
      </c>
      <c r="J18" s="7" t="n">
        <v>5</v>
      </c>
      <c r="K18" s="4" t="inlineStr"/>
    </row>
    <row r="19">
      <c r="A19" s="5" t="inlineStr">
        <is>
          <t>조합 안정성</t>
        </is>
      </c>
      <c r="B19" s="5" t="n">
        <v>4</v>
      </c>
      <c r="C19" s="8" t="n">
        <v>8</v>
      </c>
      <c r="D19" s="6" t="n">
        <v>6</v>
      </c>
      <c r="E19" s="7" t="n">
        <v>5</v>
      </c>
      <c r="F19" s="6" t="n">
        <v>6</v>
      </c>
      <c r="G19" s="6" t="n">
        <v>7</v>
      </c>
      <c r="H19" s="7" t="n">
        <v>5</v>
      </c>
      <c r="I19" s="7" t="n">
        <v>4</v>
      </c>
      <c r="J19" s="7" t="n">
        <v>4</v>
      </c>
      <c r="K19" s="5" t="inlineStr"/>
    </row>
    <row r="20">
      <c r="A20" s="4" t="inlineStr">
        <is>
          <t>정책 수혜</t>
        </is>
      </c>
      <c r="B20" s="4" t="n">
        <v>3</v>
      </c>
      <c r="C20" s="8" t="n">
        <v>8</v>
      </c>
      <c r="D20" s="6" t="n">
        <v>7</v>
      </c>
      <c r="E20" s="6" t="n">
        <v>7</v>
      </c>
      <c r="F20" s="6" t="n">
        <v>7</v>
      </c>
      <c r="G20" s="6" t="n">
        <v>7</v>
      </c>
      <c r="H20" s="6" t="n">
        <v>7</v>
      </c>
      <c r="I20" s="6" t="n">
        <v>7</v>
      </c>
      <c r="J20" s="6" t="n">
        <v>6</v>
      </c>
      <c r="K20" s="4" t="inlineStr"/>
    </row>
    <row r="21">
      <c r="A21" s="5" t="inlineStr">
        <is>
          <t>랜드마크 잠재력</t>
        </is>
      </c>
      <c r="B21" s="5" t="n">
        <v>3</v>
      </c>
      <c r="C21" s="8" t="n">
        <v>10</v>
      </c>
      <c r="D21" s="8" t="n">
        <v>8</v>
      </c>
      <c r="E21" s="6" t="n">
        <v>7</v>
      </c>
      <c r="F21" s="6" t="n">
        <v>6</v>
      </c>
      <c r="G21" s="7" t="n">
        <v>5</v>
      </c>
      <c r="H21" s="8" t="n">
        <v>9</v>
      </c>
      <c r="I21" s="8" t="n">
        <v>8</v>
      </c>
      <c r="J21" s="7" t="n">
        <v>5</v>
      </c>
      <c r="K21" s="5" t="inlineStr"/>
    </row>
    <row r="22">
      <c r="A22" s="4" t="inlineStr">
        <is>
          <t>임대수익</t>
        </is>
      </c>
      <c r="B22" s="4" t="n">
        <v>2</v>
      </c>
      <c r="C22" s="9" t="n">
        <v>3</v>
      </c>
      <c r="D22" s="7" t="n">
        <v>5</v>
      </c>
      <c r="E22" s="7" t="n">
        <v>5</v>
      </c>
      <c r="F22" s="7" t="n">
        <v>5</v>
      </c>
      <c r="G22" s="6" t="n">
        <v>6</v>
      </c>
      <c r="H22" s="9" t="n">
        <v>3</v>
      </c>
      <c r="I22" s="9" t="n">
        <v>3</v>
      </c>
      <c r="J22" s="7" t="n">
        <v>4</v>
      </c>
      <c r="K22" s="4" t="inlineStr"/>
    </row>
    <row r="23">
      <c r="A23" s="5" t="inlineStr">
        <is>
          <t>보유비용 효율</t>
        </is>
      </c>
      <c r="B23" s="5" t="n">
        <v>5</v>
      </c>
      <c r="C23" s="9" t="n">
        <v>3</v>
      </c>
      <c r="D23" s="6" t="n">
        <v>6</v>
      </c>
      <c r="E23" s="6" t="n">
        <v>6</v>
      </c>
      <c r="F23" s="6" t="n">
        <v>7</v>
      </c>
      <c r="G23" s="8" t="n">
        <v>8</v>
      </c>
      <c r="H23" s="7" t="n">
        <v>4</v>
      </c>
      <c r="I23" s="7" t="n">
        <v>4</v>
      </c>
      <c r="J23" s="6" t="n">
        <v>6</v>
      </c>
      <c r="K23" s="5" t="inlineStr"/>
    </row>
    <row r="25" ht="32" customHeight="1">
      <c r="A25" s="16" t="inlineStr">
        <is>
          <t>가중평균 종합점수</t>
        </is>
      </c>
      <c r="B25" s="16" t="inlineStr">
        <is>
          <t>120% (정규화)</t>
        </is>
      </c>
      <c r="C25" s="17" t="n">
        <v>7.38</v>
      </c>
      <c r="D25" s="17" t="n">
        <v>6.86</v>
      </c>
      <c r="E25" s="17" t="n">
        <v>6.42</v>
      </c>
      <c r="F25" s="17" t="n">
        <v>6.72</v>
      </c>
      <c r="G25" s="17" t="n">
        <v>7.01</v>
      </c>
      <c r="H25" s="17" t="n">
        <v>5.77</v>
      </c>
      <c r="I25" s="17" t="n">
        <v>5.88</v>
      </c>
      <c r="J25" s="17" t="n">
        <v>5.78</v>
      </c>
      <c r="K25" s="18" t="n"/>
    </row>
    <row r="26">
      <c r="A26" s="19" t="inlineStr">
        <is>
          <t>투자 추천 순위</t>
        </is>
      </c>
      <c r="B26" s="18" t="n"/>
      <c r="C26" s="20" t="inlineStr">
        <is>
          <t>1위</t>
        </is>
      </c>
      <c r="D26" s="21" t="inlineStr">
        <is>
          <t>3위</t>
        </is>
      </c>
      <c r="E26" s="22" t="inlineStr">
        <is>
          <t>5위</t>
        </is>
      </c>
      <c r="F26" s="22" t="inlineStr">
        <is>
          <t>4위</t>
        </is>
      </c>
      <c r="G26" s="23" t="inlineStr">
        <is>
          <t>2위</t>
        </is>
      </c>
      <c r="H26" s="22" t="inlineStr">
        <is>
          <t>8위</t>
        </is>
      </c>
      <c r="I26" s="22" t="inlineStr">
        <is>
          <t>6위</t>
        </is>
      </c>
      <c r="J26" s="22" t="inlineStr">
        <is>
          <t>7위</t>
        </is>
      </c>
      <c r="K26" s="18" t="n"/>
    </row>
    <row r="28" ht="28" customHeight="1">
      <c r="A28" s="3" t="inlineStr">
        <is>
          <t>카테고리</t>
        </is>
      </c>
      <c r="B28" s="3" t="inlineStr">
        <is>
          <t>가중치</t>
        </is>
      </c>
      <c r="C28" s="3" t="inlineStr">
        <is>
          <t>주공5</t>
        </is>
      </c>
      <c r="D28" s="3" t="inlineStr">
        <is>
          <t>장미1·2</t>
        </is>
      </c>
      <c r="E28" s="3" t="inlineStr">
        <is>
          <t>장미3</t>
        </is>
      </c>
      <c r="F28" s="3" t="inlineStr">
        <is>
          <t>우성1·2·3</t>
        </is>
      </c>
      <c r="G28" s="3" t="inlineStr">
        <is>
          <t>우성4</t>
        </is>
      </c>
      <c r="H28" s="3" t="inlineStr">
        <is>
          <t>아시아</t>
        </is>
      </c>
      <c r="I28" s="3" t="inlineStr">
        <is>
          <t>선수촌</t>
        </is>
      </c>
      <c r="J28" s="3" t="inlineStr">
        <is>
          <t>훼밀리</t>
        </is>
      </c>
      <c r="K28" s="3" t="inlineStr"/>
    </row>
    <row r="29">
      <c r="A29" s="4" t="inlineStr">
        <is>
          <t>입지/환경</t>
        </is>
      </c>
      <c r="B29" s="4" t="n">
        <v>31</v>
      </c>
      <c r="C29" s="4" t="n">
        <v>9.4</v>
      </c>
      <c r="D29" s="4" t="n">
        <v>8.6</v>
      </c>
      <c r="E29" s="4" t="n">
        <v>7.9</v>
      </c>
      <c r="F29" s="4" t="n">
        <v>7.5</v>
      </c>
      <c r="G29" s="4" t="n">
        <v>7.1</v>
      </c>
      <c r="H29" s="4" t="n">
        <v>7.9</v>
      </c>
      <c r="I29" s="4" t="n">
        <v>7.1</v>
      </c>
      <c r="J29" s="4" t="n">
        <v>6.7</v>
      </c>
      <c r="K29" s="4" t="inlineStr"/>
    </row>
    <row r="30">
      <c r="A30" s="5" t="inlineStr">
        <is>
          <t>재건축 사업성</t>
        </is>
      </c>
      <c r="B30" s="5" t="n">
        <v>32</v>
      </c>
      <c r="C30" s="5" t="n">
        <v>9.1</v>
      </c>
      <c r="D30" s="5" t="n">
        <v>5.9</v>
      </c>
      <c r="E30" s="5" t="n">
        <v>5.5</v>
      </c>
      <c r="F30" s="5" t="n">
        <v>6.9</v>
      </c>
      <c r="G30" s="5" t="n">
        <v>6.9</v>
      </c>
      <c r="H30" s="5" t="n">
        <v>5.1</v>
      </c>
      <c r="I30" s="5" t="n">
        <v>4.9</v>
      </c>
      <c r="J30" s="5" t="n">
        <v>4.4</v>
      </c>
      <c r="K30" s="5" t="inlineStr"/>
    </row>
    <row r="31">
      <c r="A31" s="4" t="inlineStr">
        <is>
          <t>투자 수익성</t>
        </is>
      </c>
      <c r="B31" s="4" t="n">
        <v>34</v>
      </c>
      <c r="C31" s="4" t="n">
        <v>4.1</v>
      </c>
      <c r="D31" s="4" t="n">
        <v>6.5</v>
      </c>
      <c r="E31" s="4" t="n">
        <v>6.6</v>
      </c>
      <c r="F31" s="4" t="n">
        <v>6.1</v>
      </c>
      <c r="G31" s="4" t="n">
        <v>7.3</v>
      </c>
      <c r="H31" s="4" t="n">
        <v>5</v>
      </c>
      <c r="I31" s="4" t="n">
        <v>6.1</v>
      </c>
      <c r="J31" s="4" t="n">
        <v>6.6</v>
      </c>
      <c r="K31" s="4" t="inlineStr"/>
    </row>
    <row r="32">
      <c r="A32" s="5" t="inlineStr">
        <is>
          <t>안정성/리스크</t>
        </is>
      </c>
      <c r="B32" s="5" t="n">
        <v>20</v>
      </c>
      <c r="C32" s="5" t="n">
        <v>6.8</v>
      </c>
      <c r="D32" s="5" t="n">
        <v>6.2</v>
      </c>
      <c r="E32" s="5" t="n">
        <v>5.2</v>
      </c>
      <c r="F32" s="5" t="n">
        <v>6.4</v>
      </c>
      <c r="G32" s="5" t="n">
        <v>6.8</v>
      </c>
      <c r="H32" s="5" t="n">
        <v>4.2</v>
      </c>
      <c r="I32" s="5" t="n">
        <v>4.8</v>
      </c>
      <c r="J32" s="5" t="n">
        <v>5.2</v>
      </c>
      <c r="K32" s="5" t="inlineStr"/>
    </row>
    <row r="33">
      <c r="A33" s="4" t="inlineStr">
        <is>
          <t>미래 가치</t>
        </is>
      </c>
      <c r="B33" s="4" t="n">
        <v>3</v>
      </c>
      <c r="C33" s="4" t="n">
        <v>10</v>
      </c>
      <c r="D33" s="4" t="n">
        <v>8</v>
      </c>
      <c r="E33" s="4" t="n">
        <v>7</v>
      </c>
      <c r="F33" s="4" t="n">
        <v>6</v>
      </c>
      <c r="G33" s="4" t="n">
        <v>5</v>
      </c>
      <c r="H33" s="4" t="n">
        <v>9</v>
      </c>
      <c r="I33" s="4" t="n">
        <v>8</v>
      </c>
      <c r="J33" s="4" t="n">
        <v>5</v>
      </c>
      <c r="K33" s="4" t="inlineStr"/>
    </row>
    <row r="36">
      <c r="A36" s="15" t="inlineStr">
        <is>
          <t>카테고리</t>
        </is>
      </c>
      <c r="B36" s="15" t="inlineStr">
        <is>
          <t>주공5</t>
        </is>
      </c>
      <c r="C36" s="15" t="inlineStr">
        <is>
          <t>장미1·2</t>
        </is>
      </c>
      <c r="D36" s="15" t="inlineStr">
        <is>
          <t>장미3</t>
        </is>
      </c>
      <c r="E36" s="15" t="inlineStr">
        <is>
          <t>우성1·2·3</t>
        </is>
      </c>
      <c r="F36" s="15" t="inlineStr">
        <is>
          <t>우성4</t>
        </is>
      </c>
      <c r="G36" s="15" t="inlineStr">
        <is>
          <t>아시아</t>
        </is>
      </c>
      <c r="H36" s="15" t="inlineStr">
        <is>
          <t>선수촌</t>
        </is>
      </c>
      <c r="I36" s="15" t="inlineStr">
        <is>
          <t>훼밀리</t>
        </is>
      </c>
    </row>
    <row r="37">
      <c r="A37" t="inlineStr">
        <is>
          <t>입지/환경</t>
        </is>
      </c>
      <c r="B37" t="n">
        <v>9.4</v>
      </c>
      <c r="C37" t="n">
        <v>8.6</v>
      </c>
      <c r="D37" t="n">
        <v>7.9</v>
      </c>
      <c r="E37" t="n">
        <v>7.5</v>
      </c>
      <c r="F37" t="n">
        <v>7.1</v>
      </c>
      <c r="G37" t="n">
        <v>7.9</v>
      </c>
      <c r="H37" t="n">
        <v>7.1</v>
      </c>
      <c r="I37" t="n">
        <v>6.7</v>
      </c>
    </row>
    <row r="38">
      <c r="A38" t="inlineStr">
        <is>
          <t>재건축 사업성</t>
        </is>
      </c>
      <c r="B38" t="n">
        <v>9.1</v>
      </c>
      <c r="C38" t="n">
        <v>5.9</v>
      </c>
      <c r="D38" t="n">
        <v>5.5</v>
      </c>
      <c r="E38" t="n">
        <v>6.9</v>
      </c>
      <c r="F38" t="n">
        <v>6.9</v>
      </c>
      <c r="G38" t="n">
        <v>5.1</v>
      </c>
      <c r="H38" t="n">
        <v>4.9</v>
      </c>
      <c r="I38" t="n">
        <v>4.4</v>
      </c>
    </row>
    <row r="39">
      <c r="A39" t="inlineStr">
        <is>
          <t>투자 수익성</t>
        </is>
      </c>
      <c r="B39" t="n">
        <v>4.1</v>
      </c>
      <c r="C39" t="n">
        <v>6.5</v>
      </c>
      <c r="D39" t="n">
        <v>6.6</v>
      </c>
      <c r="E39" t="n">
        <v>6.1</v>
      </c>
      <c r="F39" t="n">
        <v>7.3</v>
      </c>
      <c r="G39" t="n">
        <v>5</v>
      </c>
      <c r="H39" t="n">
        <v>6.1</v>
      </c>
      <c r="I39" t="n">
        <v>6.6</v>
      </c>
    </row>
    <row r="40">
      <c r="A40" t="inlineStr">
        <is>
          <t>안정성/리스크</t>
        </is>
      </c>
      <c r="B40" t="n">
        <v>6.8</v>
      </c>
      <c r="C40" t="n">
        <v>6.2</v>
      </c>
      <c r="D40" t="n">
        <v>5.2</v>
      </c>
      <c r="E40" t="n">
        <v>6.4</v>
      </c>
      <c r="F40" t="n">
        <v>6.8</v>
      </c>
      <c r="G40" t="n">
        <v>4.2</v>
      </c>
      <c r="H40" t="n">
        <v>4.8</v>
      </c>
      <c r="I40" t="n">
        <v>5.2</v>
      </c>
    </row>
    <row r="41">
      <c r="A41" t="inlineStr">
        <is>
          <t>미래 가치</t>
        </is>
      </c>
      <c r="B41" t="n">
        <v>10</v>
      </c>
      <c r="C41" t="n">
        <v>8</v>
      </c>
      <c r="D41" t="n">
        <v>7</v>
      </c>
      <c r="E41" t="n">
        <v>6</v>
      </c>
      <c r="F41" t="n">
        <v>5</v>
      </c>
      <c r="G41" t="n">
        <v>9</v>
      </c>
      <c r="H41" t="n">
        <v>8</v>
      </c>
      <c r="I41" t="n">
        <v>5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8개 재건축 단지 기본정보 비교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준공년도</t>
        </is>
      </c>
      <c r="B4" s="4" t="n">
        <v>1978</v>
      </c>
      <c r="C4" s="4" t="n">
        <v>1979</v>
      </c>
      <c r="D4" s="4" t="n">
        <v>1983</v>
      </c>
      <c r="E4" s="4" t="n">
        <v>1981</v>
      </c>
      <c r="F4" s="4" t="n">
        <v>1982</v>
      </c>
      <c r="G4" s="4" t="n">
        <v>1986</v>
      </c>
      <c r="H4" s="4" t="n">
        <v>1988</v>
      </c>
      <c r="I4" s="4" t="n">
        <v>1988</v>
      </c>
    </row>
    <row r="5">
      <c r="A5" s="5" t="inlineStr">
        <is>
          <t>연식(년)</t>
        </is>
      </c>
      <c r="B5" s="5" t="n">
        <v>48</v>
      </c>
      <c r="C5" s="5" t="n">
        <v>47</v>
      </c>
      <c r="D5" s="5" t="n">
        <v>43</v>
      </c>
      <c r="E5" s="5" t="n">
        <v>45</v>
      </c>
      <c r="F5" s="5" t="n">
        <v>44</v>
      </c>
      <c r="G5" s="5" t="n">
        <v>40</v>
      </c>
      <c r="H5" s="5" t="n">
        <v>38</v>
      </c>
      <c r="I5" s="5" t="n">
        <v>38</v>
      </c>
    </row>
    <row r="6">
      <c r="A6" s="4" t="inlineStr">
        <is>
          <t>현재 세대수</t>
        </is>
      </c>
      <c r="B6" s="4" t="n">
        <v>3930</v>
      </c>
      <c r="C6" s="4" t="n">
        <v>2262</v>
      </c>
      <c r="D6" s="4" t="n">
        <v>900</v>
      </c>
      <c r="E6" s="4" t="n">
        <v>1842</v>
      </c>
      <c r="F6" s="4" t="n">
        <v>555</v>
      </c>
      <c r="G6" s="4" t="n">
        <v>1356</v>
      </c>
      <c r="H6" s="4" t="n">
        <v>5540</v>
      </c>
      <c r="I6" s="4" t="n">
        <v>4494</v>
      </c>
    </row>
    <row r="7">
      <c r="A7" s="5" t="inlineStr">
        <is>
          <t>동 수</t>
        </is>
      </c>
      <c r="B7" s="5" t="n">
        <v>30</v>
      </c>
      <c r="C7" s="5" t="n">
        <v>26</v>
      </c>
      <c r="D7" s="5" t="n">
        <v>10</v>
      </c>
      <c r="E7" s="5" t="n">
        <v>20</v>
      </c>
      <c r="F7" s="5" t="n">
        <v>7</v>
      </c>
      <c r="G7" s="5" t="n">
        <v>18</v>
      </c>
      <c r="H7" s="5" t="n">
        <v>122</v>
      </c>
      <c r="I7" s="5" t="n">
        <v>56</v>
      </c>
    </row>
    <row r="8">
      <c r="A8" s="4" t="inlineStr">
        <is>
          <t>최고층</t>
        </is>
      </c>
      <c r="B8" s="4" t="n">
        <v>15</v>
      </c>
      <c r="C8" s="4" t="n">
        <v>15</v>
      </c>
      <c r="D8" s="4" t="n">
        <v>15</v>
      </c>
      <c r="E8" s="4" t="n">
        <v>15</v>
      </c>
      <c r="F8" s="4" t="n">
        <v>15</v>
      </c>
      <c r="G8" s="4" t="n">
        <v>18</v>
      </c>
      <c r="H8" s="4" t="n">
        <v>24</v>
      </c>
      <c r="I8" s="4" t="n">
        <v>15</v>
      </c>
    </row>
    <row r="9">
      <c r="A9" s="5" t="inlineStr">
        <is>
          <t>전용면적(m²)</t>
        </is>
      </c>
      <c r="B9" s="5" t="inlineStr">
        <is>
          <t>76~84</t>
        </is>
      </c>
      <c r="C9" s="5" t="inlineStr">
        <is>
          <t>71~82</t>
        </is>
      </c>
      <c r="D9" s="5" t="inlineStr">
        <is>
          <t>69~84</t>
        </is>
      </c>
      <c r="E9" s="5" t="inlineStr">
        <is>
          <t>59~121</t>
        </is>
      </c>
      <c r="F9" s="5" t="inlineStr">
        <is>
          <t>59~84</t>
        </is>
      </c>
      <c r="G9" s="5" t="inlineStr">
        <is>
          <t>84~184</t>
        </is>
      </c>
      <c r="H9" s="5" t="inlineStr">
        <is>
          <t>82~211</t>
        </is>
      </c>
      <c r="I9" s="5" t="inlineStr">
        <is>
          <t>84~192</t>
        </is>
      </c>
    </row>
    <row r="10">
      <c r="A10" s="4" t="inlineStr">
        <is>
          <t>기존 용적률(%)</t>
        </is>
      </c>
      <c r="B10" s="4" t="n">
        <v>169</v>
      </c>
      <c r="C10" s="4" t="n">
        <v>179</v>
      </c>
      <c r="D10" s="4" t="n">
        <v>185</v>
      </c>
      <c r="E10" s="4" t="n">
        <v>174</v>
      </c>
      <c r="F10" s="4" t="n">
        <v>168</v>
      </c>
      <c r="G10" s="4" t="n">
        <v>160</v>
      </c>
      <c r="H10" s="4" t="n">
        <v>137</v>
      </c>
      <c r="I10" s="4" t="n">
        <v>194</v>
      </c>
    </row>
    <row r="11">
      <c r="A11" s="12" t="inlineStr">
        <is>
          <t>── 재건축 후 ──</t>
        </is>
      </c>
      <c r="B11" s="12" t="inlineStr">
        <is>
          <t>─────</t>
        </is>
      </c>
      <c r="C11" s="12" t="inlineStr">
        <is>
          <t>─────</t>
        </is>
      </c>
      <c r="D11" s="12" t="inlineStr">
        <is>
          <t>─────</t>
        </is>
      </c>
      <c r="E11" s="12" t="inlineStr">
        <is>
          <t>─────</t>
        </is>
      </c>
      <c r="F11" s="12" t="inlineStr">
        <is>
          <t>─────</t>
        </is>
      </c>
      <c r="G11" s="12" t="inlineStr">
        <is>
          <t>─────</t>
        </is>
      </c>
      <c r="H11" s="12" t="inlineStr">
        <is>
          <t>─────</t>
        </is>
      </c>
      <c r="I11" s="12" t="inlineStr">
        <is>
          <t>─────</t>
        </is>
      </c>
    </row>
    <row r="12">
      <c r="A12" s="4" t="inlineStr">
        <is>
          <t>재건축 세대수</t>
        </is>
      </c>
      <c r="B12" s="4" t="n">
        <v>6491</v>
      </c>
      <c r="C12" s="4" t="n">
        <v>5165</v>
      </c>
      <c r="D12" s="4" t="n">
        <v>5165</v>
      </c>
      <c r="E12" s="4" t="n">
        <v>2680</v>
      </c>
      <c r="F12" s="4" t="n">
        <v>825</v>
      </c>
      <c r="G12" s="4" t="n">
        <v>3483</v>
      </c>
      <c r="H12" s="4" t="n">
        <v>9200</v>
      </c>
      <c r="I12" s="4" t="n">
        <v>6620</v>
      </c>
    </row>
    <row r="13">
      <c r="A13" s="5" t="inlineStr">
        <is>
          <t>재건축 최고층</t>
        </is>
      </c>
      <c r="B13" s="5" t="n">
        <v>70</v>
      </c>
      <c r="C13" s="5" t="n">
        <v>50</v>
      </c>
      <c r="D13" s="5" t="n">
        <v>50</v>
      </c>
      <c r="E13" s="5" t="n">
        <v>49</v>
      </c>
      <c r="F13" s="5" t="n">
        <v>49</v>
      </c>
      <c r="G13" s="5" t="n">
        <v>75</v>
      </c>
      <c r="H13" s="5" t="n">
        <v>49</v>
      </c>
      <c r="I13" s="5" t="n">
        <v>26</v>
      </c>
    </row>
    <row r="14">
      <c r="A14" s="4" t="inlineStr">
        <is>
          <t>계획 용적률(%)</t>
        </is>
      </c>
      <c r="B14" s="4" t="n">
        <v>390</v>
      </c>
      <c r="C14" s="4" t="n">
        <v>360</v>
      </c>
      <c r="D14" s="4" t="n">
        <v>360</v>
      </c>
      <c r="E14" s="4" t="n">
        <v>350</v>
      </c>
      <c r="F14" s="4" t="n">
        <v>299</v>
      </c>
      <c r="G14" s="4" t="n">
        <v>340</v>
      </c>
      <c r="H14" s="4" t="n">
        <v>270</v>
      </c>
      <c r="I14" s="4" t="n">
        <v>300</v>
      </c>
    </row>
    <row r="15">
      <c r="A15" s="5" t="inlineStr">
        <is>
          <t>용적률 증가(%p)</t>
        </is>
      </c>
      <c r="B15" s="5" t="n">
        <v>221</v>
      </c>
      <c r="C15" s="5" t="n">
        <v>181</v>
      </c>
      <c r="D15" s="5" t="n">
        <v>175</v>
      </c>
      <c r="E15" s="5" t="n">
        <v>176</v>
      </c>
      <c r="F15" s="5" t="n">
        <v>131</v>
      </c>
      <c r="G15" s="5" t="n">
        <v>180</v>
      </c>
      <c r="H15" s="5" t="n">
        <v>133</v>
      </c>
      <c r="I15" s="5" t="n">
        <v>106</v>
      </c>
    </row>
    <row r="16">
      <c r="A16" s="4" t="inlineStr">
        <is>
          <t>세대수 증가율</t>
        </is>
      </c>
      <c r="B16" s="4" t="inlineStr">
        <is>
          <t>65%</t>
        </is>
      </c>
      <c r="C16" s="4" t="inlineStr">
        <is>
          <t>128%</t>
        </is>
      </c>
      <c r="D16" s="4" t="inlineStr">
        <is>
          <t>474%</t>
        </is>
      </c>
      <c r="E16" s="4" t="inlineStr">
        <is>
          <t>45%</t>
        </is>
      </c>
      <c r="F16" s="4" t="inlineStr">
        <is>
          <t>49%</t>
        </is>
      </c>
      <c r="G16" s="4" t="inlineStr">
        <is>
          <t>157%</t>
        </is>
      </c>
      <c r="H16" s="4" t="inlineStr">
        <is>
          <t>66%</t>
        </is>
      </c>
      <c r="I16" s="4" t="inlineStr">
        <is>
          <t>47%</t>
        </is>
      </c>
    </row>
    <row r="17">
      <c r="A17" s="5" t="inlineStr">
        <is>
          <t>시공사</t>
        </is>
      </c>
      <c r="B17" s="5" t="inlineStr">
        <is>
          <t>삼성물산+GS+현대산업</t>
        </is>
      </c>
      <c r="C17" s="5" t="inlineStr">
        <is>
          <t>미선정</t>
        </is>
      </c>
      <c r="D17" s="5" t="inlineStr">
        <is>
          <t>미선정(장미통합)</t>
        </is>
      </c>
      <c r="E17" s="5" t="inlineStr">
        <is>
          <t>GS건설</t>
        </is>
      </c>
      <c r="F17" s="5" t="inlineStr">
        <is>
          <t>DL이앤씨</t>
        </is>
      </c>
      <c r="G17" s="5" t="inlineStr">
        <is>
          <t>미선정</t>
        </is>
      </c>
      <c r="H17" s="5" t="inlineStr">
        <is>
          <t>미선정</t>
        </is>
      </c>
      <c r="I17" s="5" t="inlineStr">
        <is>
          <t>미선정</t>
        </is>
      </c>
    </row>
    <row r="18">
      <c r="A18" s="4" t="inlineStr">
        <is>
          <t>브랜드</t>
        </is>
      </c>
      <c r="B18" s="4" t="inlineStr">
        <is>
          <t>래미안+자이+아이파크</t>
        </is>
      </c>
      <c r="C18" s="4" t="inlineStr">
        <is>
          <t>미정</t>
        </is>
      </c>
      <c r="D18" s="4" t="inlineStr">
        <is>
          <t>미정</t>
        </is>
      </c>
      <c r="E18" s="4" t="inlineStr">
        <is>
          <t>자이</t>
        </is>
      </c>
      <c r="F18" s="4" t="inlineStr">
        <is>
          <t>아크로</t>
        </is>
      </c>
      <c r="G18" s="4" t="inlineStr">
        <is>
          <t>미정</t>
        </is>
      </c>
      <c r="H18" s="4" t="inlineStr">
        <is>
          <t>미정</t>
        </is>
      </c>
      <c r="I18" s="4" t="inlineStr">
        <is>
          <t>미정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재건축 단계별 진행현황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단계</t>
        </is>
      </c>
      <c r="B4" s="4" t="inlineStr">
        <is>
          <t>사업시행계획인가 신청</t>
        </is>
      </c>
      <c r="C4" s="4" t="inlineStr">
        <is>
          <t>사업시행인가 진행중</t>
        </is>
      </c>
      <c r="D4" s="4" t="inlineStr">
        <is>
          <t>장미통합 사업시행인가 진행중</t>
        </is>
      </c>
      <c r="E4" s="4" t="inlineStr">
        <is>
          <t>사업시행인가 진행중</t>
        </is>
      </c>
      <c r="F4" s="4" t="inlineStr">
        <is>
          <t>관리처분인가 준비중</t>
        </is>
      </c>
      <c r="G4" s="4" t="inlineStr">
        <is>
          <t>추진위 승인 완료</t>
        </is>
      </c>
      <c r="H4" s="4" t="inlineStr">
        <is>
          <t>추진위 승인 완료</t>
        </is>
      </c>
      <c r="I4" s="4" t="inlineStr">
        <is>
          <t>추진위 승인 완료</t>
        </is>
      </c>
    </row>
    <row r="5">
      <c r="A5" s="5" t="inlineStr">
        <is>
          <t>진행률</t>
        </is>
      </c>
      <c r="B5" s="6" t="inlineStr">
        <is>
          <t>65%</t>
        </is>
      </c>
      <c r="C5" s="7" t="inlineStr">
        <is>
          <t>45%</t>
        </is>
      </c>
      <c r="D5" s="7" t="inlineStr">
        <is>
          <t>40%</t>
        </is>
      </c>
      <c r="E5" s="6" t="inlineStr">
        <is>
          <t>55%</t>
        </is>
      </c>
      <c r="F5" s="8" t="inlineStr">
        <is>
          <t>70%</t>
        </is>
      </c>
      <c r="G5" s="9" t="inlineStr">
        <is>
          <t>25%</t>
        </is>
      </c>
      <c r="H5" s="9" t="inlineStr">
        <is>
          <t>20%</t>
        </is>
      </c>
      <c r="I5" s="9" t="inlineStr">
        <is>
          <t>20%</t>
        </is>
      </c>
    </row>
    <row r="6">
      <c r="A6" s="4" t="inlineStr">
        <is>
          <t>안전진단</t>
        </is>
      </c>
      <c r="B6" s="4" t="inlineStr">
        <is>
          <t>완료(D)</t>
        </is>
      </c>
      <c r="C6" s="4" t="inlineStr">
        <is>
          <t>완료(D)</t>
        </is>
      </c>
      <c r="D6" s="4" t="inlineStr">
        <is>
          <t>완료</t>
        </is>
      </c>
      <c r="E6" s="4" t="inlineStr">
        <is>
          <t>완료(D)</t>
        </is>
      </c>
      <c r="F6" s="4" t="inlineStr">
        <is>
          <t>완료</t>
        </is>
      </c>
      <c r="G6" s="4" t="inlineStr">
        <is>
          <t>완료</t>
        </is>
      </c>
      <c r="H6" s="4" t="inlineStr">
        <is>
          <t>완료(D)</t>
        </is>
      </c>
      <c r="I6" s="4" t="inlineStr">
        <is>
          <t>완료</t>
        </is>
      </c>
    </row>
    <row r="7">
      <c r="A7" s="5" t="inlineStr">
        <is>
          <t>정비구역</t>
        </is>
      </c>
      <c r="B7" s="5" t="inlineStr">
        <is>
          <t>완료</t>
        </is>
      </c>
      <c r="C7" s="5" t="inlineStr">
        <is>
          <t>완료</t>
        </is>
      </c>
      <c r="D7" s="5" t="inlineStr">
        <is>
          <t>완료</t>
        </is>
      </c>
      <c r="E7" s="5" t="inlineStr">
        <is>
          <t>완료</t>
        </is>
      </c>
      <c r="F7" s="5" t="inlineStr">
        <is>
          <t>완료</t>
        </is>
      </c>
      <c r="G7" s="5" t="inlineStr">
        <is>
          <t>추진중</t>
        </is>
      </c>
      <c r="H7" s="5" t="inlineStr">
        <is>
          <t>추진중</t>
        </is>
      </c>
      <c r="I7" s="5" t="inlineStr">
        <is>
          <t>추진중</t>
        </is>
      </c>
    </row>
    <row r="8">
      <c r="A8" s="4" t="inlineStr">
        <is>
          <t>조합설립</t>
        </is>
      </c>
      <c r="B8" s="4" t="inlineStr">
        <is>
          <t>완료(2020.12)</t>
        </is>
      </c>
      <c r="C8" s="4" t="inlineStr">
        <is>
          <t>완료</t>
        </is>
      </c>
      <c r="D8" s="4" t="inlineStr">
        <is>
          <t>완료</t>
        </is>
      </c>
      <c r="E8" s="4" t="inlineStr">
        <is>
          <t>완료</t>
        </is>
      </c>
      <c r="F8" s="4" t="inlineStr">
        <is>
          <t>완료</t>
        </is>
      </c>
      <c r="G8" s="4" t="inlineStr">
        <is>
          <t>2026상반기목표</t>
        </is>
      </c>
      <c r="H8" s="4" t="inlineStr">
        <is>
          <t>2026목표</t>
        </is>
      </c>
      <c r="I8" s="4" t="inlineStr">
        <is>
          <t>2026하반기</t>
        </is>
      </c>
    </row>
    <row r="9">
      <c r="A9" s="5" t="inlineStr">
        <is>
          <t>사업시행인가</t>
        </is>
      </c>
      <c r="B9" s="5" t="inlineStr">
        <is>
          <t>신청완료(2025)</t>
        </is>
      </c>
      <c r="C9" s="5" t="inlineStr">
        <is>
          <t>진행중</t>
        </is>
      </c>
      <c r="D9" s="5" t="inlineStr">
        <is>
          <t>진행중(통합)</t>
        </is>
      </c>
      <c r="E9" s="5" t="inlineStr">
        <is>
          <t>진행중(GS건설확정)</t>
        </is>
      </c>
      <c r="F9" s="5" t="inlineStr">
        <is>
          <t>완료</t>
        </is>
      </c>
      <c r="G9" s="5" t="inlineStr">
        <is>
          <t>미착수</t>
        </is>
      </c>
      <c r="H9" s="5" t="inlineStr">
        <is>
          <t>미착수</t>
        </is>
      </c>
      <c r="I9" s="5" t="inlineStr">
        <is>
          <t>미착수</t>
        </is>
      </c>
    </row>
    <row r="10">
      <c r="A10" s="4" t="inlineStr">
        <is>
          <t>관리처분</t>
        </is>
      </c>
      <c r="B10" s="4" t="inlineStr">
        <is>
          <t>미착수(2026말예상)</t>
        </is>
      </c>
      <c r="C10" s="4" t="inlineStr">
        <is>
          <t>미착수</t>
        </is>
      </c>
      <c r="D10" s="4" t="inlineStr">
        <is>
          <t>미착수</t>
        </is>
      </c>
      <c r="E10" s="4" t="inlineStr">
        <is>
          <t>미착수</t>
        </is>
      </c>
      <c r="F10" s="4" t="inlineStr">
        <is>
          <t>준비중(2026상반기)</t>
        </is>
      </c>
      <c r="G10" s="4" t="inlineStr">
        <is>
          <t>미착수</t>
        </is>
      </c>
      <c r="H10" s="4" t="inlineStr">
        <is>
          <t>미착수</t>
        </is>
      </c>
      <c r="I10" s="4" t="inlineStr">
        <is>
          <t>미착수</t>
        </is>
      </c>
    </row>
    <row r="11">
      <c r="A11" s="5" t="inlineStr">
        <is>
          <t>착공</t>
        </is>
      </c>
      <c r="B11" s="5" t="inlineStr">
        <is>
          <t>2027년</t>
        </is>
      </c>
      <c r="C11" s="5" t="inlineStr">
        <is>
          <t>2028~2029</t>
        </is>
      </c>
      <c r="D11" s="5" t="inlineStr">
        <is>
          <t>2028~2029</t>
        </is>
      </c>
      <c r="E11" s="5" t="inlineStr">
        <is>
          <t>2028</t>
        </is>
      </c>
      <c r="F11" s="5" t="inlineStr">
        <is>
          <t>2026.09</t>
        </is>
      </c>
      <c r="G11" s="5" t="inlineStr">
        <is>
          <t>2030~2031</t>
        </is>
      </c>
      <c r="H11" s="5" t="inlineStr">
        <is>
          <t>2029~2030</t>
        </is>
      </c>
      <c r="I11" s="5" t="inlineStr">
        <is>
          <t>2029~2030</t>
        </is>
      </c>
    </row>
    <row r="12">
      <c r="A12" s="4" t="inlineStr">
        <is>
          <t>준공</t>
        </is>
      </c>
      <c r="B12" s="4" t="inlineStr">
        <is>
          <t>2030~2031</t>
        </is>
      </c>
      <c r="C12" s="4" t="inlineStr">
        <is>
          <t>2031~2032</t>
        </is>
      </c>
      <c r="D12" s="4" t="inlineStr">
        <is>
          <t>2031~2032</t>
        </is>
      </c>
      <c r="E12" s="4" t="inlineStr">
        <is>
          <t>2031~2032</t>
        </is>
      </c>
      <c r="F12" s="4" t="inlineStr">
        <is>
          <t>2029~2030</t>
        </is>
      </c>
      <c r="G12" s="4" t="inlineStr">
        <is>
          <t>2033~2035</t>
        </is>
      </c>
      <c r="H12" s="4" t="inlineStr">
        <is>
          <t>2033~2035</t>
        </is>
      </c>
      <c r="I12" s="4" t="inlineStr">
        <is>
          <t>2033~2035</t>
        </is>
      </c>
    </row>
    <row r="13">
      <c r="A13" s="5" t="inlineStr">
        <is>
          <t>이주</t>
        </is>
      </c>
      <c r="B13" s="5" t="inlineStr">
        <is>
          <t>2026말~2027초</t>
        </is>
      </c>
      <c r="C13" s="5" t="inlineStr">
        <is>
          <t>2028</t>
        </is>
      </c>
      <c r="D13" s="5" t="inlineStr">
        <is>
          <t>2028</t>
        </is>
      </c>
      <c r="E13" s="5" t="inlineStr">
        <is>
          <t>2027~2028</t>
        </is>
      </c>
      <c r="F13" s="5" t="inlineStr">
        <is>
          <t>2026하반기</t>
        </is>
      </c>
      <c r="G13" s="5" t="inlineStr">
        <is>
          <t>2030</t>
        </is>
      </c>
      <c r="H13" s="5" t="inlineStr">
        <is>
          <t>2029~2030</t>
        </is>
      </c>
      <c r="I13" s="5" t="inlineStr">
        <is>
          <t>2029~2030</t>
        </is>
      </c>
    </row>
    <row r="16">
      <c r="A16" s="15" t="inlineStr">
        <is>
          <t>단지명</t>
        </is>
      </c>
      <c r="B16" s="15" t="inlineStr">
        <is>
          <t>진행률(%)</t>
        </is>
      </c>
    </row>
    <row r="17">
      <c r="A17" t="inlineStr">
        <is>
          <t>주공5</t>
        </is>
      </c>
      <c r="B17" t="n">
        <v>65</v>
      </c>
    </row>
    <row r="18">
      <c r="A18" t="inlineStr">
        <is>
          <t>장미1·2</t>
        </is>
      </c>
      <c r="B18" t="n">
        <v>45</v>
      </c>
    </row>
    <row r="19">
      <c r="A19" t="inlineStr">
        <is>
          <t>장미3</t>
        </is>
      </c>
      <c r="B19" t="n">
        <v>40</v>
      </c>
    </row>
    <row r="20">
      <c r="A20" t="inlineStr">
        <is>
          <t>우성1·2·3</t>
        </is>
      </c>
      <c r="B20" t="n">
        <v>55</v>
      </c>
    </row>
    <row r="21">
      <c r="A21" t="inlineStr">
        <is>
          <t>우성4</t>
        </is>
      </c>
      <c r="B21" t="n">
        <v>70</v>
      </c>
    </row>
    <row r="22">
      <c r="A22" t="inlineStr">
        <is>
          <t>아시아</t>
        </is>
      </c>
      <c r="B22" t="n">
        <v>25</v>
      </c>
    </row>
    <row r="23">
      <c r="A23" t="inlineStr">
        <is>
          <t>선수촌</t>
        </is>
      </c>
      <c r="B23" t="n">
        <v>20</v>
      </c>
    </row>
    <row r="24">
      <c r="A24" t="inlineStr">
        <is>
          <t>훼밀리</t>
        </is>
      </c>
      <c r="B24" t="n">
        <v>20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시세 및 가격 다차원 분석 (전용 84m² 기준,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현재 매매가</t>
        </is>
      </c>
      <c r="B4" s="4" t="n">
        <v>39.26</v>
      </c>
      <c r="C4" s="4" t="n">
        <v>26.75</v>
      </c>
      <c r="D4" s="4" t="n">
        <v>25</v>
      </c>
      <c r="E4" s="4" t="n">
        <v>27.15</v>
      </c>
      <c r="F4" s="4" t="n">
        <v>21.51</v>
      </c>
      <c r="G4" s="4" t="n">
        <v>29.78</v>
      </c>
      <c r="H4" s="4" t="n">
        <v>25.2</v>
      </c>
      <c r="I4" s="4" t="n">
        <v>21.5</v>
      </c>
    </row>
    <row r="5">
      <c r="A5" s="5" t="inlineStr">
        <is>
          <t>현재 전세가</t>
        </is>
      </c>
      <c r="B5" s="5" t="n">
        <v>4.45</v>
      </c>
      <c r="C5" s="5" t="n">
        <v>5.88</v>
      </c>
      <c r="D5" s="5" t="n">
        <v>8.5</v>
      </c>
      <c r="E5" s="5" t="n">
        <v>5.38</v>
      </c>
      <c r="F5" s="5" t="n">
        <v>6.28</v>
      </c>
      <c r="G5" s="5" t="n">
        <v>7.39</v>
      </c>
      <c r="H5" s="5" t="n">
        <v>6.83</v>
      </c>
      <c r="I5" s="5" t="n">
        <v>6.61</v>
      </c>
    </row>
    <row r="6">
      <c r="A6" s="4" t="inlineStr">
        <is>
          <t>전세가율(%)</t>
        </is>
      </c>
      <c r="B6" s="4" t="n">
        <v>11.3</v>
      </c>
      <c r="C6" s="4" t="n">
        <v>22</v>
      </c>
      <c r="D6" s="4" t="n">
        <v>34</v>
      </c>
      <c r="E6" s="4" t="n">
        <v>19.8</v>
      </c>
      <c r="F6" s="4" t="n">
        <v>29.2</v>
      </c>
      <c r="G6" s="4" t="n">
        <v>24.8</v>
      </c>
      <c r="H6" s="4" t="n">
        <v>27.1</v>
      </c>
      <c r="I6" s="4" t="n">
        <v>30.7</v>
      </c>
    </row>
    <row r="7">
      <c r="A7" s="5" t="inlineStr">
        <is>
          <t>호가</t>
        </is>
      </c>
      <c r="B7" s="5" t="n">
        <v>42.96</v>
      </c>
      <c r="C7" s="5" t="n">
        <v>28.06</v>
      </c>
      <c r="D7" s="5" t="n">
        <v>26</v>
      </c>
      <c r="E7" s="5" t="n">
        <v>27.76</v>
      </c>
      <c r="F7" s="5" t="n">
        <v>23.5</v>
      </c>
      <c r="G7" s="5" t="n">
        <v>31.85</v>
      </c>
      <c r="H7" s="5" t="n">
        <v>28.12</v>
      </c>
      <c r="I7" s="5" t="n">
        <v>22.7</v>
      </c>
    </row>
    <row r="8">
      <c r="A8" s="4" t="inlineStr">
        <is>
          <t>신고가</t>
        </is>
      </c>
      <c r="B8" s="4" t="n">
        <v>45.5</v>
      </c>
      <c r="C8" s="4" t="n">
        <v>26.5</v>
      </c>
      <c r="D8" s="4" t="n">
        <v>25</v>
      </c>
      <c r="E8" s="4" t="n">
        <v>25</v>
      </c>
      <c r="F8" s="4" t="n">
        <v>22.5</v>
      </c>
      <c r="G8" s="4" t="n">
        <v>30</v>
      </c>
      <c r="H8" s="4" t="n">
        <v>29.3</v>
      </c>
      <c r="I8" s="4" t="n">
        <v>22</v>
      </c>
    </row>
    <row r="9">
      <c r="A9" s="5" t="inlineStr">
        <is>
          <t>최저가(1년)</t>
        </is>
      </c>
      <c r="B9" s="5" t="n">
        <v>36</v>
      </c>
      <c r="C9" s="5" t="n">
        <v>20</v>
      </c>
      <c r="D9" s="5" t="n">
        <v>19</v>
      </c>
      <c r="E9" s="5" t="n">
        <v>18</v>
      </c>
      <c r="F9" s="5" t="n">
        <v>16.5</v>
      </c>
      <c r="G9" s="5" t="n">
        <v>20</v>
      </c>
      <c r="H9" s="5" t="n">
        <v>21</v>
      </c>
      <c r="I9" s="5" t="n">
        <v>17</v>
      </c>
    </row>
    <row r="10">
      <c r="A10" s="4" t="inlineStr">
        <is>
          <t>1년전</t>
        </is>
      </c>
      <c r="B10" s="4" t="n">
        <v>38</v>
      </c>
      <c r="C10" s="4" t="n">
        <v>22</v>
      </c>
      <c r="D10" s="4" t="n">
        <v>21</v>
      </c>
      <c r="E10" s="4" t="n">
        <v>20</v>
      </c>
      <c r="F10" s="4" t="n">
        <v>18.5</v>
      </c>
      <c r="G10" s="4" t="n">
        <v>22</v>
      </c>
      <c r="H10" s="4" t="n">
        <v>22</v>
      </c>
      <c r="I10" s="4" t="n">
        <v>18</v>
      </c>
    </row>
    <row r="11">
      <c r="A11" s="5" t="inlineStr">
        <is>
          <t>3년전</t>
        </is>
      </c>
      <c r="B11" s="5" t="n">
        <v>25</v>
      </c>
      <c r="C11" s="5" t="n">
        <v>16</v>
      </c>
      <c r="D11" s="5" t="n">
        <v>15.5</v>
      </c>
      <c r="E11" s="5" t="n">
        <v>14.5</v>
      </c>
      <c r="F11" s="5" t="n">
        <v>13</v>
      </c>
      <c r="G11" s="5" t="n">
        <v>16</v>
      </c>
      <c r="H11" s="5" t="n">
        <v>17</v>
      </c>
      <c r="I11" s="5" t="n">
        <v>15</v>
      </c>
    </row>
    <row r="12">
      <c r="A12" s="4" t="inlineStr">
        <is>
          <t>5년전</t>
        </is>
      </c>
      <c r="B12" s="4" t="n">
        <v>20</v>
      </c>
      <c r="C12" s="4" t="n">
        <v>13</v>
      </c>
      <c r="D12" s="4" t="n">
        <v>12</v>
      </c>
      <c r="E12" s="4" t="n">
        <v>11</v>
      </c>
      <c r="F12" s="4" t="n">
        <v>10</v>
      </c>
      <c r="G12" s="4" t="n">
        <v>13</v>
      </c>
      <c r="H12" s="4" t="n">
        <v>15</v>
      </c>
      <c r="I12" s="4" t="n">
        <v>13</v>
      </c>
    </row>
    <row r="13">
      <c r="A13" s="12" t="inlineStr">
        <is>
          <t>── 분석지표 ──</t>
        </is>
      </c>
      <c r="B13" s="12" t="inlineStr">
        <is>
          <t>─────</t>
        </is>
      </c>
      <c r="C13" s="12" t="inlineStr">
        <is>
          <t>─────</t>
        </is>
      </c>
      <c r="D13" s="12" t="inlineStr">
        <is>
          <t>─────</t>
        </is>
      </c>
      <c r="E13" s="12" t="inlineStr">
        <is>
          <t>─────</t>
        </is>
      </c>
      <c r="F13" s="12" t="inlineStr">
        <is>
          <t>─────</t>
        </is>
      </c>
      <c r="G13" s="12" t="inlineStr">
        <is>
          <t>─────</t>
        </is>
      </c>
      <c r="H13" s="12" t="inlineStr">
        <is>
          <t>─────</t>
        </is>
      </c>
      <c r="I13" s="12" t="inlineStr">
        <is>
          <t>─────</t>
        </is>
      </c>
    </row>
    <row r="14">
      <c r="A14" s="4" t="inlineStr">
        <is>
          <t>1년 상승률(%)</t>
        </is>
      </c>
      <c r="B14" s="4" t="n">
        <v>3.3</v>
      </c>
      <c r="C14" s="4" t="n">
        <v>21.6</v>
      </c>
      <c r="D14" s="4" t="n">
        <v>19</v>
      </c>
      <c r="E14" s="4" t="n">
        <v>35.7</v>
      </c>
      <c r="F14" s="4" t="n">
        <v>16.3</v>
      </c>
      <c r="G14" s="4" t="n">
        <v>35.4</v>
      </c>
      <c r="H14" s="4" t="n">
        <v>14.5</v>
      </c>
      <c r="I14" s="4" t="n">
        <v>19.4</v>
      </c>
    </row>
    <row r="15">
      <c r="A15" s="5" t="inlineStr">
        <is>
          <t>3년 상승률(%)</t>
        </is>
      </c>
      <c r="B15" s="5" t="n">
        <v>57</v>
      </c>
      <c r="C15" s="5" t="n">
        <v>67.2</v>
      </c>
      <c r="D15" s="5" t="n">
        <v>61.3</v>
      </c>
      <c r="E15" s="5" t="n">
        <v>87.2</v>
      </c>
      <c r="F15" s="5" t="n">
        <v>65.5</v>
      </c>
      <c r="G15" s="5" t="n">
        <v>86.09999999999999</v>
      </c>
      <c r="H15" s="5" t="n">
        <v>48.2</v>
      </c>
      <c r="I15" s="5" t="n">
        <v>43.3</v>
      </c>
    </row>
    <row r="16">
      <c r="A16" s="4" t="inlineStr">
        <is>
          <t>5년 상승률(%)</t>
        </is>
      </c>
      <c r="B16" s="4" t="n">
        <v>96.3</v>
      </c>
      <c r="C16" s="4" t="n">
        <v>105.8</v>
      </c>
      <c r="D16" s="4" t="n">
        <v>108.3</v>
      </c>
      <c r="E16" s="4" t="n">
        <v>146.8</v>
      </c>
      <c r="F16" s="4" t="n">
        <v>115.1</v>
      </c>
      <c r="G16" s="4" t="n">
        <v>129.1</v>
      </c>
      <c r="H16" s="4" t="n">
        <v>68</v>
      </c>
      <c r="I16" s="4" t="n">
        <v>65.40000000000001</v>
      </c>
    </row>
    <row r="17">
      <c r="A17" s="5" t="inlineStr">
        <is>
          <t>연평균 상승률(5Y)</t>
        </is>
      </c>
      <c r="B17" s="5" t="n">
        <v>14.4</v>
      </c>
      <c r="C17" s="5" t="n">
        <v>15.5</v>
      </c>
      <c r="D17" s="5" t="n">
        <v>15.8</v>
      </c>
      <c r="E17" s="5" t="n">
        <v>19.8</v>
      </c>
      <c r="F17" s="5" t="n">
        <v>16.6</v>
      </c>
      <c r="G17" s="5" t="n">
        <v>18</v>
      </c>
      <c r="H17" s="5" t="n">
        <v>10.9</v>
      </c>
      <c r="I17" s="5" t="n">
        <v>10.6</v>
      </c>
    </row>
    <row r="18">
      <c r="A18" s="4" t="inlineStr">
        <is>
          <t>재건축 프리미엄(억)</t>
        </is>
      </c>
      <c r="B18" s="4" t="n">
        <v>19.3</v>
      </c>
      <c r="C18" s="4" t="n">
        <v>13.8</v>
      </c>
      <c r="D18" s="4" t="n">
        <v>13</v>
      </c>
      <c r="E18" s="4" t="n">
        <v>16.1</v>
      </c>
      <c r="F18" s="4" t="n">
        <v>11.5</v>
      </c>
      <c r="G18" s="4" t="n">
        <v>16.8</v>
      </c>
      <c r="H18" s="4" t="n">
        <v>10.2</v>
      </c>
      <c r="I18" s="4" t="n">
        <v>8.5</v>
      </c>
    </row>
    <row r="19">
      <c r="A19" s="5" t="inlineStr">
        <is>
          <t>갭(매매-전세)(억)</t>
        </is>
      </c>
      <c r="B19" s="5" t="n">
        <v>34.8</v>
      </c>
      <c r="C19" s="5" t="n">
        <v>20.9</v>
      </c>
      <c r="D19" s="5" t="n">
        <v>16.5</v>
      </c>
      <c r="E19" s="5" t="n">
        <v>21.8</v>
      </c>
      <c r="F19" s="5" t="n">
        <v>15.2</v>
      </c>
      <c r="G19" s="5" t="n">
        <v>22.4</v>
      </c>
      <c r="H19" s="5" t="n">
        <v>18.4</v>
      </c>
      <c r="I19" s="5" t="n">
        <v>14.9</v>
      </c>
    </row>
    <row r="20">
      <c r="A20" s="4" t="inlineStr">
        <is>
          <t>호가-실거래 괴리(%)</t>
        </is>
      </c>
      <c r="B20" s="4" t="n">
        <v>9.4</v>
      </c>
      <c r="C20" s="4" t="n">
        <v>4.9</v>
      </c>
      <c r="D20" s="4" t="n">
        <v>4</v>
      </c>
      <c r="E20" s="4" t="n">
        <v>2.2</v>
      </c>
      <c r="F20" s="4" t="n">
        <v>9.300000000000001</v>
      </c>
      <c r="G20" s="4" t="n">
        <v>7</v>
      </c>
      <c r="H20" s="4" t="n">
        <v>11.6</v>
      </c>
      <c r="I20" s="4" t="n">
        <v>5.6</v>
      </c>
    </row>
    <row r="21">
      <c r="A21" s="12" t="inlineStr">
        <is>
          <t>── MCP 교차검증(최근12개월) ──</t>
        </is>
      </c>
      <c r="B21" s="12" t="inlineStr">
        <is>
          <t>─────</t>
        </is>
      </c>
      <c r="C21" s="12" t="inlineStr">
        <is>
          <t>─────</t>
        </is>
      </c>
      <c r="D21" s="12" t="inlineStr">
        <is>
          <t>─────</t>
        </is>
      </c>
      <c r="E21" s="12" t="inlineStr">
        <is>
          <t>─────</t>
        </is>
      </c>
      <c r="F21" s="12" t="inlineStr">
        <is>
          <t>─────</t>
        </is>
      </c>
      <c r="G21" s="12" t="inlineStr">
        <is>
          <t>─────</t>
        </is>
      </c>
      <c r="H21" s="12" t="inlineStr">
        <is>
          <t>─────</t>
        </is>
      </c>
      <c r="I21" s="12" t="inlineStr">
        <is>
          <t>─────</t>
        </is>
      </c>
    </row>
    <row r="22">
      <c r="A22" s="4" t="inlineStr">
        <is>
          <t>MCP 매매중앙값(억)</t>
        </is>
      </c>
      <c r="B22" s="4" t="n">
        <v>39.26</v>
      </c>
      <c r="C22" s="4" t="n">
        <v>26.75</v>
      </c>
      <c r="D22" s="4" t="inlineStr">
        <is>
          <t>-</t>
        </is>
      </c>
      <c r="E22" s="4" t="n">
        <v>28.2</v>
      </c>
      <c r="F22" s="4" t="n">
        <v>20.6</v>
      </c>
      <c r="G22" s="4" t="n">
        <v>36.92</v>
      </c>
      <c r="H22" s="4" t="n">
        <v>25.2</v>
      </c>
      <c r="I22" s="4" t="n">
        <v>21.5</v>
      </c>
    </row>
    <row r="23">
      <c r="A23" s="5" t="inlineStr">
        <is>
          <t>MCP 전세중앙값(억)</t>
        </is>
      </c>
      <c r="B23" s="5" t="n">
        <v>4.45</v>
      </c>
      <c r="C23" s="5" t="n">
        <v>5.88</v>
      </c>
      <c r="D23" s="5" t="inlineStr">
        <is>
          <t>-</t>
        </is>
      </c>
      <c r="E23" s="5" t="n">
        <v>4.5</v>
      </c>
      <c r="F23" s="5" t="n">
        <v>4</v>
      </c>
      <c r="G23" s="5" t="n">
        <v>8.960000000000001</v>
      </c>
      <c r="H23" s="5" t="n">
        <v>6.83</v>
      </c>
      <c r="I23" s="5" t="n">
        <v>6.61</v>
      </c>
    </row>
    <row r="24">
      <c r="A24" s="4" t="inlineStr">
        <is>
          <t>MCP 전세가율(%)</t>
        </is>
      </c>
      <c r="B24" s="4" t="n">
        <v>11.3</v>
      </c>
      <c r="C24" s="4" t="n">
        <v>22</v>
      </c>
      <c r="D24" s="4" t="inlineStr">
        <is>
          <t>-</t>
        </is>
      </c>
      <c r="E24" s="4" t="n">
        <v>16</v>
      </c>
      <c r="F24" s="4" t="n">
        <v>19.4</v>
      </c>
      <c r="G24" s="4" t="n">
        <v>24.3</v>
      </c>
      <c r="H24" s="4" t="n">
        <v>27.1</v>
      </c>
      <c r="I24" s="4" t="n">
        <v>30.7</v>
      </c>
    </row>
    <row r="25">
      <c r="A25" s="5" t="inlineStr">
        <is>
          <t>표본수(매매/전월세)</t>
        </is>
      </c>
      <c r="B25" s="5" t="inlineStr">
        <is>
          <t>146/636</t>
        </is>
      </c>
      <c r="C25" s="5" t="inlineStr">
        <is>
          <t>37/221</t>
        </is>
      </c>
      <c r="D25" s="5" t="inlineStr">
        <is>
          <t>0/0</t>
        </is>
      </c>
      <c r="E25" s="5" t="inlineStr">
        <is>
          <t>15/73</t>
        </is>
      </c>
      <c r="F25" s="5" t="inlineStr">
        <is>
          <t>6/11</t>
        </is>
      </c>
      <c r="G25" s="5" t="inlineStr">
        <is>
          <t>4/34</t>
        </is>
      </c>
      <c r="H25" s="5" t="inlineStr">
        <is>
          <t>46/327</t>
        </is>
      </c>
      <c r="I25" s="5" t="inlineStr">
        <is>
          <t>63/274</t>
        </is>
      </c>
    </row>
    <row r="26">
      <c r="A26" s="4" t="inlineStr">
        <is>
          <t>데이터 신뢰도</t>
        </is>
      </c>
      <c r="B26" s="4" t="inlineStr">
        <is>
          <t>high</t>
        </is>
      </c>
      <c r="C26" s="4" t="inlineStr">
        <is>
          <t>high</t>
        </is>
      </c>
      <c r="D26" s="4" t="inlineStr">
        <is>
          <t>low</t>
        </is>
      </c>
      <c r="E26" s="4" t="inlineStr">
        <is>
          <t>medium</t>
        </is>
      </c>
      <c r="F26" s="4" t="inlineStr">
        <is>
          <t>low</t>
        </is>
      </c>
      <c r="G26" s="4" t="inlineStr">
        <is>
          <t>low</t>
        </is>
      </c>
      <c r="H26" s="4" t="inlineStr">
        <is>
          <t>high</t>
        </is>
      </c>
      <c r="I26" s="4" t="inlineStr">
        <is>
          <t>high</t>
        </is>
      </c>
    </row>
    <row r="27">
      <c r="A27" s="5" t="inlineStr">
        <is>
          <t>반영가중치</t>
        </is>
      </c>
      <c r="B27" s="5" t="n">
        <v>1</v>
      </c>
      <c r="C27" s="5" t="n">
        <v>1</v>
      </c>
      <c r="D27" s="5" t="n">
        <v>0</v>
      </c>
      <c r="E27" s="5" t="n">
        <v>0.75</v>
      </c>
      <c r="F27" s="5" t="n">
        <v>0.35</v>
      </c>
      <c r="G27" s="5" t="n">
        <v>0.2</v>
      </c>
      <c r="H27" s="5" t="n">
        <v>1</v>
      </c>
      <c r="I27" s="5" t="n">
        <v>1</v>
      </c>
    </row>
    <row r="30">
      <c r="A30" s="15" t="inlineStr">
        <is>
          <t>시점</t>
        </is>
      </c>
      <c r="B30" s="15" t="inlineStr">
        <is>
          <t>주공5</t>
        </is>
      </c>
      <c r="C30" s="15" t="inlineStr">
        <is>
          <t>장미1·2</t>
        </is>
      </c>
      <c r="D30" s="15" t="inlineStr">
        <is>
          <t>장미3</t>
        </is>
      </c>
      <c r="E30" s="15" t="inlineStr">
        <is>
          <t>우성1·2·3</t>
        </is>
      </c>
      <c r="F30" s="15" t="inlineStr">
        <is>
          <t>우성4</t>
        </is>
      </c>
      <c r="G30" s="15" t="inlineStr">
        <is>
          <t>아시아</t>
        </is>
      </c>
      <c r="H30" s="15" t="inlineStr">
        <is>
          <t>선수촌</t>
        </is>
      </c>
      <c r="I30" s="15" t="inlineStr">
        <is>
          <t>훼밀리</t>
        </is>
      </c>
    </row>
    <row r="31">
      <c r="A31" t="inlineStr">
        <is>
          <t>5년전</t>
        </is>
      </c>
      <c r="B31" t="n">
        <v>20</v>
      </c>
      <c r="C31" t="n">
        <v>13</v>
      </c>
      <c r="D31" t="n">
        <v>12</v>
      </c>
      <c r="E31" t="n">
        <v>11</v>
      </c>
      <c r="F31" t="n">
        <v>10</v>
      </c>
      <c r="G31" t="n">
        <v>13</v>
      </c>
      <c r="H31" t="n">
        <v>15</v>
      </c>
      <c r="I31" t="n">
        <v>13</v>
      </c>
    </row>
    <row r="32">
      <c r="A32" t="inlineStr">
        <is>
          <t>3년전</t>
        </is>
      </c>
      <c r="B32" t="n">
        <v>25</v>
      </c>
      <c r="C32" t="n">
        <v>16</v>
      </c>
      <c r="D32" t="n">
        <v>15.5</v>
      </c>
      <c r="E32" t="n">
        <v>14.5</v>
      </c>
      <c r="F32" t="n">
        <v>13</v>
      </c>
      <c r="G32" t="n">
        <v>16</v>
      </c>
      <c r="H32" t="n">
        <v>17</v>
      </c>
      <c r="I32" t="n">
        <v>15</v>
      </c>
    </row>
    <row r="33">
      <c r="A33" t="inlineStr">
        <is>
          <t>1년전</t>
        </is>
      </c>
      <c r="B33" t="n">
        <v>38</v>
      </c>
      <c r="C33" t="n">
        <v>22</v>
      </c>
      <c r="D33" t="n">
        <v>21</v>
      </c>
      <c r="E33" t="n">
        <v>20</v>
      </c>
      <c r="F33" t="n">
        <v>18.5</v>
      </c>
      <c r="G33" t="n">
        <v>22</v>
      </c>
      <c r="H33" t="n">
        <v>22</v>
      </c>
      <c r="I33" t="n">
        <v>18</v>
      </c>
    </row>
    <row r="34">
      <c r="A34" t="inlineStr">
        <is>
          <t>현재</t>
        </is>
      </c>
      <c r="B34" t="n">
        <v>39.26</v>
      </c>
      <c r="C34" t="n">
        <v>26.75</v>
      </c>
      <c r="D34" t="n">
        <v>25</v>
      </c>
      <c r="E34" t="n">
        <v>27.15</v>
      </c>
      <c r="F34" t="n">
        <v>21.51</v>
      </c>
      <c r="G34" t="n">
        <v>29.78</v>
      </c>
      <c r="H34" t="n">
        <v>25.2</v>
      </c>
      <c r="I34" t="n">
        <v>21.5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단지별 투자 수익성 시뮬레이션 (전용 84m²,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12" t="inlineStr">
        <is>
          <t>── 매입비용 ──</t>
        </is>
      </c>
      <c r="B4" s="12" t="inlineStr">
        <is>
          <t>─────</t>
        </is>
      </c>
      <c r="C4" s="12" t="inlineStr">
        <is>
          <t>─────</t>
        </is>
      </c>
      <c r="D4" s="12" t="inlineStr">
        <is>
          <t>─────</t>
        </is>
      </c>
      <c r="E4" s="12" t="inlineStr">
        <is>
          <t>─────</t>
        </is>
      </c>
      <c r="F4" s="12" t="inlineStr">
        <is>
          <t>─────</t>
        </is>
      </c>
      <c r="G4" s="12" t="inlineStr">
        <is>
          <t>─────</t>
        </is>
      </c>
      <c r="H4" s="12" t="inlineStr">
        <is>
          <t>─────</t>
        </is>
      </c>
      <c r="I4" s="12" t="inlineStr">
        <is>
          <t>─────</t>
        </is>
      </c>
    </row>
    <row r="5">
      <c r="A5" s="5" t="inlineStr">
        <is>
          <t>매입가</t>
        </is>
      </c>
      <c r="B5" s="5" t="n">
        <v>39.26</v>
      </c>
      <c r="C5" s="5" t="n">
        <v>26.75</v>
      </c>
      <c r="D5" s="5" t="n">
        <v>25</v>
      </c>
      <c r="E5" s="5" t="n">
        <v>27.15</v>
      </c>
      <c r="F5" s="5" t="n">
        <v>21.51</v>
      </c>
      <c r="G5" s="5" t="n">
        <v>29.78</v>
      </c>
      <c r="H5" s="5" t="n">
        <v>25.2</v>
      </c>
      <c r="I5" s="5" t="n">
        <v>21.5</v>
      </c>
    </row>
    <row r="6">
      <c r="A6" s="4" t="inlineStr">
        <is>
          <t>취득세(3.0%)</t>
        </is>
      </c>
      <c r="B6" s="4" t="n">
        <v>1.18</v>
      </c>
      <c r="C6" s="4" t="n">
        <v>0.8</v>
      </c>
      <c r="D6" s="4" t="n">
        <v>0.75</v>
      </c>
      <c r="E6" s="4" t="n">
        <v>0.8100000000000001</v>
      </c>
      <c r="F6" s="4" t="n">
        <v>0.65</v>
      </c>
      <c r="G6" s="4" t="n">
        <v>0.89</v>
      </c>
      <c r="H6" s="4" t="n">
        <v>0.76</v>
      </c>
      <c r="I6" s="4" t="n">
        <v>0.65</v>
      </c>
    </row>
    <row r="7">
      <c r="A7" s="5" t="inlineStr">
        <is>
          <t>중개수수료(0.50%)</t>
        </is>
      </c>
      <c r="B7" s="5" t="n">
        <v>0.196</v>
      </c>
      <c r="C7" s="5" t="n">
        <v>0.134</v>
      </c>
      <c r="D7" s="5" t="n">
        <v>0.125</v>
      </c>
      <c r="E7" s="5" t="n">
        <v>0.136</v>
      </c>
      <c r="F7" s="5" t="n">
        <v>0.108</v>
      </c>
      <c r="G7" s="5" t="n">
        <v>0.149</v>
      </c>
      <c r="H7" s="5" t="n">
        <v>0.126</v>
      </c>
      <c r="I7" s="5" t="n">
        <v>0.107</v>
      </c>
    </row>
    <row r="8">
      <c r="A8" s="4" t="inlineStr">
        <is>
          <t>매입 총비용</t>
        </is>
      </c>
      <c r="B8" s="4" t="n">
        <v>40.64</v>
      </c>
      <c r="C8" s="4" t="n">
        <v>27.68</v>
      </c>
      <c r="D8" s="4" t="n">
        <v>25.88</v>
      </c>
      <c r="E8" s="4" t="n">
        <v>28.1</v>
      </c>
      <c r="F8" s="4" t="n">
        <v>22.27</v>
      </c>
      <c r="G8" s="4" t="n">
        <v>30.82</v>
      </c>
      <c r="H8" s="4" t="n">
        <v>26.09</v>
      </c>
      <c r="I8" s="4" t="n">
        <v>22.26</v>
      </c>
    </row>
    <row r="9">
      <c r="A9" s="12" t="inlineStr">
        <is>
          <t>── 보유비용 ──</t>
        </is>
      </c>
      <c r="B9" s="12" t="inlineStr">
        <is>
          <t>─────</t>
        </is>
      </c>
      <c r="C9" s="12" t="inlineStr">
        <is>
          <t>─────</t>
        </is>
      </c>
      <c r="D9" s="12" t="inlineStr">
        <is>
          <t>─────</t>
        </is>
      </c>
      <c r="E9" s="12" t="inlineStr">
        <is>
          <t>─────</t>
        </is>
      </c>
      <c r="F9" s="12" t="inlineStr">
        <is>
          <t>─────</t>
        </is>
      </c>
      <c r="G9" s="12" t="inlineStr">
        <is>
          <t>─────</t>
        </is>
      </c>
      <c r="H9" s="12" t="inlineStr">
        <is>
          <t>─────</t>
        </is>
      </c>
      <c r="I9" s="12" t="inlineStr">
        <is>
          <t>─────</t>
        </is>
      </c>
    </row>
    <row r="10">
      <c r="A10" s="4" t="inlineStr">
        <is>
          <t>추정 분담금</t>
        </is>
      </c>
      <c r="B10" s="4" t="n">
        <v>3.5</v>
      </c>
      <c r="C10" s="4" t="n">
        <v>2.7</v>
      </c>
      <c r="D10" s="4" t="n">
        <v>2.7</v>
      </c>
      <c r="E10" s="4" t="n">
        <v>2.7</v>
      </c>
      <c r="F10" s="4" t="n">
        <v>2</v>
      </c>
      <c r="G10" s="4" t="n">
        <v>3.54</v>
      </c>
      <c r="H10" s="4" t="n">
        <v>1.77</v>
      </c>
      <c r="I10" s="4" t="n">
        <v>4.25</v>
      </c>
    </row>
    <row r="11">
      <c r="A11" s="5" t="inlineStr">
        <is>
          <t>이주기간(년)</t>
        </is>
      </c>
      <c r="B11" s="5" t="n">
        <v>4.5</v>
      </c>
      <c r="C11" s="5" t="n">
        <v>4</v>
      </c>
      <c r="D11" s="5" t="n">
        <v>4</v>
      </c>
      <c r="E11" s="5" t="n">
        <v>4</v>
      </c>
      <c r="F11" s="5" t="n">
        <v>3</v>
      </c>
      <c r="G11" s="5" t="n">
        <v>5.5</v>
      </c>
      <c r="H11" s="5" t="n">
        <v>6</v>
      </c>
      <c r="I11" s="5" t="n">
        <v>6</v>
      </c>
    </row>
    <row r="12">
      <c r="A12" s="4" t="inlineStr">
        <is>
          <t>전세기회비용/년</t>
        </is>
      </c>
      <c r="B12" s="4" t="n">
        <v>0.73</v>
      </c>
      <c r="C12" s="4" t="n">
        <v>0.44</v>
      </c>
      <c r="D12" s="4" t="n">
        <v>0.35</v>
      </c>
      <c r="E12" s="4" t="n">
        <v>0.46</v>
      </c>
      <c r="F12" s="4" t="n">
        <v>0.32</v>
      </c>
      <c r="G12" s="4" t="n">
        <v>0.47</v>
      </c>
      <c r="H12" s="4" t="n">
        <v>0.39</v>
      </c>
      <c r="I12" s="4" t="n">
        <v>0.31</v>
      </c>
    </row>
    <row r="13">
      <c r="A13" s="5" t="inlineStr">
        <is>
          <t>보유세/년</t>
        </is>
      </c>
      <c r="B13" s="5" t="n">
        <v>0.29</v>
      </c>
      <c r="C13" s="5" t="n">
        <v>0.2</v>
      </c>
      <c r="D13" s="5" t="n">
        <v>0.19</v>
      </c>
      <c r="E13" s="5" t="n">
        <v>0.2</v>
      </c>
      <c r="F13" s="5" t="n">
        <v>0.16</v>
      </c>
      <c r="G13" s="5" t="n">
        <v>0.22</v>
      </c>
      <c r="H13" s="5" t="n">
        <v>0.19</v>
      </c>
      <c r="I13" s="5" t="n">
        <v>0.16</v>
      </c>
    </row>
    <row r="14">
      <c r="A14" s="4" t="inlineStr">
        <is>
          <t>대출이자/년(프로필가정)</t>
        </is>
      </c>
      <c r="B14" s="4" t="n">
        <v>0.8</v>
      </c>
      <c r="C14" s="4" t="n">
        <v>0.55</v>
      </c>
      <c r="D14" s="4" t="n">
        <v>0.51</v>
      </c>
      <c r="E14" s="4" t="n">
        <v>0.5600000000000001</v>
      </c>
      <c r="F14" s="4" t="n">
        <v>0.44</v>
      </c>
      <c r="G14" s="4" t="n">
        <v>0.61</v>
      </c>
      <c r="H14" s="4" t="n">
        <v>0.52</v>
      </c>
      <c r="I14" s="4" t="n">
        <v>0.44</v>
      </c>
    </row>
    <row r="15">
      <c r="A15" s="5" t="inlineStr">
        <is>
          <t>보유기간 총비용</t>
        </is>
      </c>
      <c r="B15" s="5" t="n">
        <v>11.7</v>
      </c>
      <c r="C15" s="5" t="n">
        <v>7.5</v>
      </c>
      <c r="D15" s="5" t="n">
        <v>6.9</v>
      </c>
      <c r="E15" s="5" t="n">
        <v>7.6</v>
      </c>
      <c r="F15" s="5" t="n">
        <v>4.8</v>
      </c>
      <c r="G15" s="5" t="n">
        <v>10.7</v>
      </c>
      <c r="H15" s="5" t="n">
        <v>8.4</v>
      </c>
      <c r="I15" s="5" t="n">
        <v>9.699999999999999</v>
      </c>
    </row>
    <row r="16">
      <c r="A16" s="12" t="inlineStr">
        <is>
          <t>── 예상수익 ──</t>
        </is>
      </c>
      <c r="B16" s="12" t="inlineStr">
        <is>
          <t>─────</t>
        </is>
      </c>
      <c r="C16" s="12" t="inlineStr">
        <is>
          <t>─────</t>
        </is>
      </c>
      <c r="D16" s="12" t="inlineStr">
        <is>
          <t>─────</t>
        </is>
      </c>
      <c r="E16" s="12" t="inlineStr">
        <is>
          <t>─────</t>
        </is>
      </c>
      <c r="F16" s="12" t="inlineStr">
        <is>
          <t>─────</t>
        </is>
      </c>
      <c r="G16" s="12" t="inlineStr">
        <is>
          <t>─────</t>
        </is>
      </c>
      <c r="H16" s="12" t="inlineStr">
        <is>
          <t>─────</t>
        </is>
      </c>
      <c r="I16" s="12" t="inlineStr">
        <is>
          <t>─────</t>
        </is>
      </c>
    </row>
    <row r="17">
      <c r="A17" s="5" t="inlineStr">
        <is>
          <t>예상 신축가(비관)</t>
        </is>
      </c>
      <c r="B17" s="5" t="n">
        <v>38.5</v>
      </c>
      <c r="C17" s="5" t="n">
        <v>33.5</v>
      </c>
      <c r="D17" s="5" t="n">
        <v>29.4</v>
      </c>
      <c r="E17" s="5" t="n">
        <v>34.3</v>
      </c>
      <c r="F17" s="5" t="n">
        <v>29.1</v>
      </c>
      <c r="G17" s="5" t="n">
        <v>30.8</v>
      </c>
      <c r="H17" s="5" t="n">
        <v>28</v>
      </c>
      <c r="I17" s="5" t="n">
        <v>25.8</v>
      </c>
    </row>
    <row r="18">
      <c r="A18" s="4" t="inlineStr">
        <is>
          <t>예상 신축가(중립)</t>
        </is>
      </c>
      <c r="B18" s="4" t="n">
        <v>46.3</v>
      </c>
      <c r="C18" s="4" t="n">
        <v>40.7</v>
      </c>
      <c r="D18" s="4" t="n">
        <v>38.5</v>
      </c>
      <c r="E18" s="4" t="n">
        <v>41.5</v>
      </c>
      <c r="F18" s="4" t="n">
        <v>34.5</v>
      </c>
      <c r="G18" s="4" t="n">
        <v>43.4</v>
      </c>
      <c r="H18" s="4" t="n">
        <v>36.4</v>
      </c>
      <c r="I18" s="4" t="n">
        <v>33.1</v>
      </c>
    </row>
    <row r="19">
      <c r="A19" s="5" t="inlineStr">
        <is>
          <t>예상 신축가(낙관)</t>
        </is>
      </c>
      <c r="B19" s="5" t="n">
        <v>56.9</v>
      </c>
      <c r="C19" s="5" t="n">
        <v>49.4</v>
      </c>
      <c r="D19" s="5" t="n">
        <v>48.7</v>
      </c>
      <c r="E19" s="5" t="n">
        <v>51</v>
      </c>
      <c r="F19" s="5" t="n">
        <v>42.5</v>
      </c>
      <c r="G19" s="5" t="n">
        <v>56.1</v>
      </c>
      <c r="H19" s="5" t="n">
        <v>44.8</v>
      </c>
      <c r="I19" s="5" t="n">
        <v>40.3</v>
      </c>
    </row>
    <row r="20">
      <c r="A20" s="4" t="inlineStr">
        <is>
          <t>준공 예정연도</t>
        </is>
      </c>
      <c r="B20" s="4" t="n">
        <v>2031</v>
      </c>
      <c r="C20" s="4" t="n">
        <v>2032</v>
      </c>
      <c r="D20" s="4" t="n">
        <v>2032</v>
      </c>
      <c r="E20" s="4" t="n">
        <v>2032</v>
      </c>
      <c r="F20" s="4" t="n">
        <v>2029</v>
      </c>
      <c r="G20" s="4" t="n">
        <v>2034</v>
      </c>
      <c r="H20" s="4" t="n">
        <v>2034</v>
      </c>
      <c r="I20" s="4" t="n">
        <v>2034</v>
      </c>
    </row>
    <row r="21">
      <c r="A21" s="12" t="inlineStr">
        <is>
          <t>── 수익률 ──</t>
        </is>
      </c>
      <c r="B21" s="12" t="inlineStr">
        <is>
          <t>─────</t>
        </is>
      </c>
      <c r="C21" s="12" t="inlineStr">
        <is>
          <t>─────</t>
        </is>
      </c>
      <c r="D21" s="12" t="inlineStr">
        <is>
          <t>─────</t>
        </is>
      </c>
      <c r="E21" s="12" t="inlineStr">
        <is>
          <t>─────</t>
        </is>
      </c>
      <c r="F21" s="12" t="inlineStr">
        <is>
          <t>─────</t>
        </is>
      </c>
      <c r="G21" s="12" t="inlineStr">
        <is>
          <t>─────</t>
        </is>
      </c>
      <c r="H21" s="12" t="inlineStr">
        <is>
          <t>─────</t>
        </is>
      </c>
      <c r="I21" s="12" t="inlineStr">
        <is>
          <t>─────</t>
        </is>
      </c>
    </row>
    <row r="22">
      <c r="A22" s="4" t="inlineStr">
        <is>
          <t>총투자비(중립)</t>
        </is>
      </c>
      <c r="B22" s="4" t="n">
        <v>53.7</v>
      </c>
      <c r="C22" s="4" t="n">
        <v>36.3</v>
      </c>
      <c r="D22" s="4" t="n">
        <v>33.9</v>
      </c>
      <c r="E22" s="4" t="n">
        <v>36.9</v>
      </c>
      <c r="F22" s="4" t="n">
        <v>28</v>
      </c>
      <c r="G22" s="4" t="n">
        <v>42.8</v>
      </c>
      <c r="H22" s="4" t="n">
        <v>35.5</v>
      </c>
      <c r="I22" s="4" t="n">
        <v>32.9</v>
      </c>
    </row>
    <row r="23">
      <c r="A23" s="5" t="inlineStr">
        <is>
          <t>예상차익(비관)</t>
        </is>
      </c>
      <c r="B23" s="5" t="n">
        <v>-15</v>
      </c>
      <c r="C23" s="5" t="n">
        <v>-4.3</v>
      </c>
      <c r="D23" s="5" t="n">
        <v>-5.3</v>
      </c>
      <c r="E23" s="5" t="n">
        <v>-4.2</v>
      </c>
      <c r="F23" s="5" t="n">
        <v>-0.7</v>
      </c>
      <c r="G23" s="5" t="n">
        <v>-11.9</v>
      </c>
      <c r="H23" s="5" t="n">
        <v>-8</v>
      </c>
      <c r="I23" s="5" t="n">
        <v>-8</v>
      </c>
    </row>
    <row r="24">
      <c r="A24" s="4" t="inlineStr">
        <is>
          <t>예상차익(중립)</t>
        </is>
      </c>
      <c r="B24" s="4" t="n">
        <v>-9.199999999999999</v>
      </c>
      <c r="C24" s="4" t="n">
        <v>0.9</v>
      </c>
      <c r="D24" s="4" t="n">
        <v>1.2</v>
      </c>
      <c r="E24" s="4" t="n">
        <v>1</v>
      </c>
      <c r="F24" s="4" t="n">
        <v>3.2</v>
      </c>
      <c r="G24" s="4" t="n">
        <v>-2.8</v>
      </c>
      <c r="H24" s="4" t="n">
        <v>-1.9</v>
      </c>
      <c r="I24" s="4" t="n">
        <v>-2.7</v>
      </c>
    </row>
    <row r="25">
      <c r="A25" s="5" t="inlineStr">
        <is>
          <t>예상차익(낙관)</t>
        </is>
      </c>
      <c r="B25" s="5" t="n">
        <v>-1.5</v>
      </c>
      <c r="C25" s="5" t="n">
        <v>7.1</v>
      </c>
      <c r="D25" s="5" t="n">
        <v>8.6</v>
      </c>
      <c r="E25" s="5" t="n">
        <v>7.9</v>
      </c>
      <c r="F25" s="5" t="n">
        <v>9</v>
      </c>
      <c r="G25" s="5" t="n">
        <v>6.4</v>
      </c>
      <c r="H25" s="5" t="n">
        <v>4.1</v>
      </c>
      <c r="I25" s="5" t="n">
        <v>2.4</v>
      </c>
    </row>
    <row r="26">
      <c r="A26" s="4" t="inlineStr">
        <is>
          <t>ROI(중립-초기원가)(%)</t>
        </is>
      </c>
      <c r="B26" s="4" t="n">
        <v>-22.5</v>
      </c>
      <c r="C26" s="4" t="n">
        <v>3.1</v>
      </c>
      <c r="D26" s="4" t="n">
        <v>4.7</v>
      </c>
      <c r="E26" s="4" t="n">
        <v>3.6</v>
      </c>
      <c r="F26" s="4" t="n">
        <v>14.4</v>
      </c>
      <c r="G26" s="4" t="n">
        <v>-9.1</v>
      </c>
      <c r="H26" s="4" t="n">
        <v>-7.4</v>
      </c>
      <c r="I26" s="4" t="n">
        <v>-12.3</v>
      </c>
    </row>
    <row r="27">
      <c r="A27" s="5" t="inlineStr">
        <is>
          <t>ROI(중립-총투자비)(%)</t>
        </is>
      </c>
      <c r="B27" s="5" t="n">
        <v>-17.1</v>
      </c>
      <c r="C27" s="5" t="n">
        <v>2.4</v>
      </c>
      <c r="D27" s="5" t="n">
        <v>3.6</v>
      </c>
      <c r="E27" s="5" t="n">
        <v>2.7</v>
      </c>
      <c r="F27" s="5" t="n">
        <v>11.4</v>
      </c>
      <c r="G27" s="5" t="n">
        <v>-6.5</v>
      </c>
      <c r="H27" s="5" t="n">
        <v>-5.4</v>
      </c>
      <c r="I27" s="5" t="n">
        <v>-8.300000000000001</v>
      </c>
    </row>
    <row r="28">
      <c r="A28" s="4" t="inlineStr">
        <is>
          <t>연환산CAGR(총투자비)(%)</t>
        </is>
      </c>
      <c r="B28" s="4" t="n">
        <v>-2.7</v>
      </c>
      <c r="C28" s="4" t="n">
        <v>2.3</v>
      </c>
      <c r="D28" s="4" t="n">
        <v>2.6</v>
      </c>
      <c r="E28" s="4" t="n">
        <v>2.4</v>
      </c>
      <c r="F28" s="4" t="n">
        <v>5.3</v>
      </c>
      <c r="G28" s="4" t="n">
        <v>0.2</v>
      </c>
      <c r="H28" s="4" t="n">
        <v>0.3</v>
      </c>
      <c r="I28" s="4" t="n">
        <v>0.1</v>
      </c>
    </row>
    <row r="31">
      <c r="A31" s="15" t="inlineStr">
        <is>
          <t>단지명</t>
        </is>
      </c>
      <c r="B31" s="15" t="inlineStr">
        <is>
          <t>비관ROI(총투자비)</t>
        </is>
      </c>
      <c r="C31" s="15" t="inlineStr">
        <is>
          <t>중립ROI(총투자비)</t>
        </is>
      </c>
      <c r="D31" s="15" t="inlineStr">
        <is>
          <t>낙관ROI(총투자비)</t>
        </is>
      </c>
    </row>
    <row r="32">
      <c r="A32" t="inlineStr">
        <is>
          <t>주공5</t>
        </is>
      </c>
      <c r="B32" t="n">
        <v>-28</v>
      </c>
      <c r="C32" t="n">
        <v>-17.1</v>
      </c>
      <c r="D32" t="n">
        <v>-2.8</v>
      </c>
    </row>
    <row r="33">
      <c r="A33" t="inlineStr">
        <is>
          <t>장미1·2</t>
        </is>
      </c>
      <c r="B33" t="n">
        <v>-12</v>
      </c>
      <c r="C33" t="n">
        <v>2.4</v>
      </c>
      <c r="D33" t="n">
        <v>19.5</v>
      </c>
    </row>
    <row r="34">
      <c r="A34" t="inlineStr">
        <is>
          <t>장미3</t>
        </is>
      </c>
      <c r="B34" t="n">
        <v>-15.9</v>
      </c>
      <c r="C34" t="n">
        <v>3.6</v>
      </c>
      <c r="D34" t="n">
        <v>25</v>
      </c>
    </row>
    <row r="35">
      <c r="A35" t="inlineStr">
        <is>
          <t>우성1·2·3</t>
        </is>
      </c>
      <c r="B35" t="n">
        <v>-11.4</v>
      </c>
      <c r="C35" t="n">
        <v>2.7</v>
      </c>
      <c r="D35" t="n">
        <v>21.1</v>
      </c>
    </row>
    <row r="36">
      <c r="A36" t="inlineStr">
        <is>
          <t>우성4</t>
        </is>
      </c>
      <c r="B36" t="n">
        <v>-2.5</v>
      </c>
      <c r="C36" t="n">
        <v>11.4</v>
      </c>
      <c r="D36" t="n">
        <v>31.7</v>
      </c>
    </row>
    <row r="37">
      <c r="A37" t="inlineStr">
        <is>
          <t>아시아</t>
        </is>
      </c>
      <c r="B37" t="n">
        <v>-28</v>
      </c>
      <c r="C37" t="n">
        <v>-6.5</v>
      </c>
      <c r="D37" t="n">
        <v>14.7</v>
      </c>
    </row>
    <row r="38">
      <c r="A38" t="inlineStr">
        <is>
          <t>선수촌</t>
        </is>
      </c>
      <c r="B38" t="n">
        <v>-22.6</v>
      </c>
      <c r="C38" t="n">
        <v>-5.4</v>
      </c>
      <c r="D38" t="n">
        <v>11.5</v>
      </c>
    </row>
    <row r="39">
      <c r="A39" t="inlineStr">
        <is>
          <t>훼밀리</t>
        </is>
      </c>
      <c r="B39" t="n">
        <v>-24.5</v>
      </c>
      <c r="C39" t="n">
        <v>-8.300000000000001</v>
      </c>
      <c r="D39" t="n">
        <v>7.4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36" customHeight="1">
      <c r="A1" s="1" t="inlineStr">
        <is>
          <t>재건축 투자 비용 구조 상세</t>
        </is>
      </c>
    </row>
    <row r="3">
      <c r="A3" s="2" t="inlineStr">
        <is>
          <t>[1] 취득세 세율</t>
        </is>
      </c>
    </row>
    <row r="4" ht="28" customHeight="1">
      <c r="A4" s="3" t="inlineStr">
        <is>
          <t>구분</t>
        </is>
      </c>
      <c r="B4" s="3" t="inlineStr">
        <is>
          <t>세율</t>
        </is>
      </c>
      <c r="C4" s="3" t="inlineStr">
        <is>
          <t>조건</t>
        </is>
      </c>
      <c r="D4" s="3" t="inlineStr">
        <is>
          <t>비고</t>
        </is>
      </c>
    </row>
    <row r="5">
      <c r="A5" s="4" t="inlineStr">
        <is>
          <t>1주택(6억이하)</t>
        </is>
      </c>
      <c r="B5" s="4" t="inlineStr">
        <is>
          <t>1.0%</t>
        </is>
      </c>
      <c r="C5" s="4" t="inlineStr">
        <is>
          <t>비규제</t>
        </is>
      </c>
      <c r="D5" s="4" t="inlineStr">
        <is>
          <t>지방교육세 별도</t>
        </is>
      </c>
    </row>
    <row r="6">
      <c r="A6" s="5" t="inlineStr">
        <is>
          <t>1주택(6~9억)</t>
        </is>
      </c>
      <c r="B6" s="5" t="inlineStr">
        <is>
          <t>1~3%</t>
        </is>
      </c>
      <c r="C6" s="5" t="inlineStr">
        <is>
          <t>비규제</t>
        </is>
      </c>
      <c r="D6" s="5" t="inlineStr">
        <is>
          <t>구간별 차등</t>
        </is>
      </c>
    </row>
    <row r="7">
      <c r="A7" s="4" t="inlineStr">
        <is>
          <t>1주택(9억초과)</t>
        </is>
      </c>
      <c r="B7" s="4" t="inlineStr">
        <is>
          <t>3.0%</t>
        </is>
      </c>
      <c r="C7" s="4" t="inlineStr">
        <is>
          <t>비규제</t>
        </is>
      </c>
      <c r="D7" s="4" t="inlineStr"/>
    </row>
    <row r="8">
      <c r="A8" s="5" t="inlineStr">
        <is>
          <t>2주택(조정지역)</t>
        </is>
      </c>
      <c r="B8" s="5" t="inlineStr">
        <is>
          <t>8.0%</t>
        </is>
      </c>
      <c r="C8" s="5" t="inlineStr">
        <is>
          <t>규제중과</t>
        </is>
      </c>
      <c r="D8" s="5" t="inlineStr">
        <is>
          <t>+지방교육세+농특세</t>
        </is>
      </c>
    </row>
    <row r="9">
      <c r="A9" s="4" t="inlineStr">
        <is>
          <t>3주택이상</t>
        </is>
      </c>
      <c r="B9" s="4" t="inlineStr">
        <is>
          <t>12.0%</t>
        </is>
      </c>
      <c r="C9" s="4" t="inlineStr">
        <is>
          <t>규제중과</t>
        </is>
      </c>
      <c r="D9" s="4" t="inlineStr"/>
    </row>
    <row r="10">
      <c r="A10" s="5" t="inlineStr">
        <is>
          <t>멸실후 토지매수</t>
        </is>
      </c>
      <c r="B10" s="5" t="inlineStr">
        <is>
          <t>4.6%</t>
        </is>
      </c>
      <c r="C10" s="5" t="inlineStr">
        <is>
          <t>토지취득세</t>
        </is>
      </c>
      <c r="D10" s="5" t="inlineStr"/>
    </row>
    <row r="11">
      <c r="A11" s="4" t="inlineStr">
        <is>
          <t>원시취득(85m²이하)</t>
        </is>
      </c>
      <c r="B11" s="4" t="inlineStr">
        <is>
          <t>2.8%</t>
        </is>
      </c>
      <c r="C11" s="4" t="inlineStr">
        <is>
          <t>신축취득</t>
        </is>
      </c>
      <c r="D11" s="4" t="inlineStr">
        <is>
          <t>+0.16%=2.96%</t>
        </is>
      </c>
    </row>
    <row r="12">
      <c r="A12" s="5" t="inlineStr">
        <is>
          <t>원시취득(85m²초과)</t>
        </is>
      </c>
      <c r="B12" s="5" t="inlineStr">
        <is>
          <t>2.8%</t>
        </is>
      </c>
      <c r="C12" s="5" t="inlineStr">
        <is>
          <t>신축취득</t>
        </is>
      </c>
      <c r="D12" s="5" t="inlineStr">
        <is>
          <t>+0.2%=3.16%</t>
        </is>
      </c>
    </row>
    <row r="14">
      <c r="A14" s="2" t="inlineStr">
        <is>
          <t>[2] 중개수수료</t>
        </is>
      </c>
    </row>
    <row r="15" ht="28" customHeight="1">
      <c r="A15" s="3" t="inlineStr">
        <is>
          <t>거래금액</t>
        </is>
      </c>
      <c r="B15" s="3" t="inlineStr">
        <is>
          <t>상한요율</t>
        </is>
      </c>
      <c r="C15" s="3" t="inlineStr">
        <is>
          <t>예시(40억)</t>
        </is>
      </c>
      <c r="D15" s="3" t="inlineStr">
        <is>
          <t>실제협의선</t>
        </is>
      </c>
    </row>
    <row r="16">
      <c r="A16" s="4" t="inlineStr">
        <is>
          <t>5억미만</t>
        </is>
      </c>
      <c r="B16" s="4" t="inlineStr">
        <is>
          <t>0.6%</t>
        </is>
      </c>
      <c r="C16" s="4" t="inlineStr">
        <is>
          <t>-</t>
        </is>
      </c>
      <c r="D16" s="4" t="inlineStr">
        <is>
          <t>-</t>
        </is>
      </c>
    </row>
    <row r="17">
      <c r="A17" s="5" t="inlineStr">
        <is>
          <t>5~9억</t>
        </is>
      </c>
      <c r="B17" s="5" t="inlineStr">
        <is>
          <t>0.5%</t>
        </is>
      </c>
      <c r="C17" s="5" t="inlineStr">
        <is>
          <t>-</t>
        </is>
      </c>
      <c r="D17" s="5" t="inlineStr">
        <is>
          <t>-</t>
        </is>
      </c>
    </row>
    <row r="18">
      <c r="A18" s="4" t="inlineStr">
        <is>
          <t>9~12억</t>
        </is>
      </c>
      <c r="B18" s="4" t="inlineStr">
        <is>
          <t>0.5%</t>
        </is>
      </c>
      <c r="C18" s="4" t="inlineStr">
        <is>
          <t>-</t>
        </is>
      </c>
      <c r="D18" s="4" t="inlineStr">
        <is>
          <t>-</t>
        </is>
      </c>
    </row>
    <row r="19">
      <c r="A19" s="5" t="inlineStr">
        <is>
          <t>12~15억</t>
        </is>
      </c>
      <c r="B19" s="5" t="inlineStr">
        <is>
          <t>0.6%</t>
        </is>
      </c>
      <c r="C19" s="5" t="inlineStr">
        <is>
          <t>-</t>
        </is>
      </c>
      <c r="D19" s="5" t="inlineStr">
        <is>
          <t>-</t>
        </is>
      </c>
    </row>
    <row r="20">
      <c r="A20" s="4" t="inlineStr">
        <is>
          <t>15억이상</t>
        </is>
      </c>
      <c r="B20" s="4" t="inlineStr">
        <is>
          <t>0.7%</t>
        </is>
      </c>
      <c r="C20" s="4" t="inlineStr">
        <is>
          <t>최대2800만</t>
        </is>
      </c>
      <c r="D20" s="4" t="inlineStr">
        <is>
          <t>0.4~0.5%</t>
        </is>
      </c>
    </row>
    <row r="22">
      <c r="A22" s="2" t="inlineStr">
        <is>
          <t>[3] 보유세(1주택,공시가30억)</t>
        </is>
      </c>
    </row>
    <row r="23" ht="28" customHeight="1">
      <c r="A23" s="3" t="inlineStr">
        <is>
          <t>항목</t>
        </is>
      </c>
      <c r="B23" s="3" t="inlineStr">
        <is>
          <t>금액(만/년)</t>
        </is>
      </c>
      <c r="C23" s="3" t="inlineStr">
        <is>
          <t>비고</t>
        </is>
      </c>
      <c r="D23" s="3" t="inlineStr">
        <is>
          <t>변동요인</t>
        </is>
      </c>
    </row>
    <row r="24">
      <c r="A24" s="4" t="inlineStr">
        <is>
          <t>재산세</t>
        </is>
      </c>
      <c r="B24" s="4" t="inlineStr">
        <is>
          <t>800~1,200</t>
        </is>
      </c>
      <c r="C24" s="4" t="inlineStr">
        <is>
          <t>공시가기준</t>
        </is>
      </c>
      <c r="D24" s="4" t="inlineStr">
        <is>
          <t>공시가변동</t>
        </is>
      </c>
    </row>
    <row r="25">
      <c r="A25" s="5" t="inlineStr">
        <is>
          <t>종부세</t>
        </is>
      </c>
      <c r="B25" s="5" t="inlineStr">
        <is>
          <t>1,500~2,500</t>
        </is>
      </c>
      <c r="C25" s="5" t="inlineStr">
        <is>
          <t>공제12억</t>
        </is>
      </c>
      <c r="D25" s="5" t="inlineStr">
        <is>
          <t>가액비율</t>
        </is>
      </c>
    </row>
    <row r="26">
      <c r="A26" s="4" t="inlineStr">
        <is>
          <t>합계</t>
        </is>
      </c>
      <c r="B26" s="4" t="inlineStr">
        <is>
          <t>2,300~3,700</t>
        </is>
      </c>
      <c r="C26" s="4" t="inlineStr"/>
      <c r="D26" s="4" t="inlineStr">
        <is>
          <t>2026증가</t>
        </is>
      </c>
    </row>
    <row r="27">
      <c r="A27" s="5" t="inlineStr">
        <is>
          <t>다주택종부세</t>
        </is>
      </c>
      <c r="B27" s="5" t="inlineStr">
        <is>
          <t>3,000~6,000+</t>
        </is>
      </c>
      <c r="C27" s="5" t="inlineStr">
        <is>
          <t>중과세율</t>
        </is>
      </c>
      <c r="D27" s="5" t="inlineStr">
        <is>
          <t>상한폐지</t>
        </is>
      </c>
    </row>
    <row r="29">
      <c r="A29" s="2" t="inlineStr">
        <is>
          <t>[4] 대출금리/레버리지(2026)</t>
        </is>
      </c>
    </row>
    <row r="30" ht="28" customHeight="1">
      <c r="A30" s="3" t="inlineStr">
        <is>
          <t>구분</t>
        </is>
      </c>
      <c r="B30" s="3" t="inlineStr">
        <is>
          <t>금리</t>
        </is>
      </c>
      <c r="C30" s="3" t="inlineStr">
        <is>
          <t>비고</t>
        </is>
      </c>
      <c r="D30" s="3" t="inlineStr">
        <is>
          <t>월이자(20억)</t>
        </is>
      </c>
    </row>
    <row r="31">
      <c r="A31" s="4" t="inlineStr">
        <is>
          <t>기준금리</t>
        </is>
      </c>
      <c r="B31" s="4" t="inlineStr">
        <is>
          <t>2.50%</t>
        </is>
      </c>
      <c r="C31" s="4" t="inlineStr">
        <is>
          <t>2025-05-29 이후</t>
        </is>
      </c>
      <c r="D31" s="4" t="inlineStr">
        <is>
          <t>-</t>
        </is>
      </c>
    </row>
    <row r="32">
      <c r="A32" s="5" t="inlineStr">
        <is>
          <t>변동금리</t>
        </is>
      </c>
      <c r="B32" s="5" t="inlineStr">
        <is>
          <t>3.8~4.6%</t>
        </is>
      </c>
      <c r="C32" s="5" t="inlineStr">
        <is>
          <t>스트레스DSR 3단계 반영</t>
        </is>
      </c>
      <c r="D32" s="5" t="inlineStr">
        <is>
          <t>633~767만</t>
        </is>
      </c>
    </row>
    <row r="33">
      <c r="A33" s="4" t="inlineStr">
        <is>
          <t>고정금리</t>
        </is>
      </c>
      <c r="B33" s="4" t="inlineStr">
        <is>
          <t>4.0~4.8%</t>
        </is>
      </c>
      <c r="C33" s="4" t="inlineStr">
        <is>
          <t>장기고정 선호 확대</t>
        </is>
      </c>
      <c r="D33" s="4" t="inlineStr">
        <is>
          <t>667~800만</t>
        </is>
      </c>
    </row>
    <row r="34">
      <c r="A34" s="5" t="inlineStr">
        <is>
          <t>정책대출</t>
        </is>
      </c>
      <c r="B34" s="5" t="inlineStr">
        <is>
          <t>3.0~4.2%</t>
        </is>
      </c>
      <c r="C34" s="5" t="inlineStr">
        <is>
          <t>조건부 가능</t>
        </is>
      </c>
      <c r="D34" s="5" t="inlineStr">
        <is>
          <t>500~700만</t>
        </is>
      </c>
    </row>
    <row r="35">
      <c r="A35" s="4" t="inlineStr">
        <is>
          <t>시뮬레이션 기본금리</t>
        </is>
      </c>
      <c r="B35" s="4" t="inlineStr">
        <is>
          <t>4.1%</t>
        </is>
      </c>
      <c r="C35" s="4" t="inlineStr">
        <is>
          <t>본 보고서 계산 가정</t>
        </is>
      </c>
      <c r="D35" s="4" t="inlineStr">
        <is>
          <t>683만(연 4.1%)</t>
        </is>
      </c>
    </row>
  </sheetData>
  <mergeCells count="5">
    <mergeCell ref="A1:D1"/>
    <mergeCell ref="A22:D22"/>
    <mergeCell ref="A3:D3"/>
    <mergeCell ref="A29:D29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0" customWidth="1" min="18" max="18"/>
  </cols>
  <sheetData>
    <row r="1" ht="36" customHeight="1">
      <c r="A1" s="1" t="inlineStr">
        <is>
          <t>단지별 리스크 매트릭스 (영향도×확률)</t>
        </is>
      </c>
    </row>
    <row r="3" ht="28" customHeight="1">
      <c r="A3" s="3" t="inlineStr">
        <is>
          <t>리스크 요인</t>
        </is>
      </c>
      <c r="B3" s="3" t="inlineStr">
        <is>
          <t>주공5영향</t>
        </is>
      </c>
      <c r="C3" s="3" t="inlineStr">
        <is>
          <t>주공5확률</t>
        </is>
      </c>
      <c r="D3" s="3" t="inlineStr">
        <is>
          <t>장미1영향</t>
        </is>
      </c>
      <c r="E3" s="3" t="inlineStr">
        <is>
          <t>장미1확률</t>
        </is>
      </c>
      <c r="F3" s="3" t="inlineStr">
        <is>
          <t>장미3영향</t>
        </is>
      </c>
      <c r="G3" s="3" t="inlineStr">
        <is>
          <t>장미3확률</t>
        </is>
      </c>
      <c r="H3" s="3" t="inlineStr">
        <is>
          <t>우성1영향</t>
        </is>
      </c>
      <c r="I3" s="3" t="inlineStr">
        <is>
          <t>우성1확률</t>
        </is>
      </c>
      <c r="J3" s="3" t="inlineStr">
        <is>
          <t>우성4영향</t>
        </is>
      </c>
      <c r="K3" s="3" t="inlineStr">
        <is>
          <t>우성4확률</t>
        </is>
      </c>
      <c r="L3" s="3" t="inlineStr">
        <is>
          <t>아시아영향</t>
        </is>
      </c>
      <c r="M3" s="3" t="inlineStr">
        <is>
          <t>아시아확률</t>
        </is>
      </c>
      <c r="N3" s="3" t="inlineStr">
        <is>
          <t>선수촌영향</t>
        </is>
      </c>
      <c r="O3" s="3" t="inlineStr">
        <is>
          <t>선수촌확률</t>
        </is>
      </c>
      <c r="P3" s="3" t="inlineStr">
        <is>
          <t>훼밀리영향</t>
        </is>
      </c>
      <c r="Q3" s="3" t="inlineStr">
        <is>
          <t>훼밀리확률</t>
        </is>
      </c>
      <c r="R3" s="3" t="inlineStr">
        <is>
          <t>등급</t>
        </is>
      </c>
    </row>
    <row r="4">
      <c r="A4" s="5" t="inlineStr">
        <is>
          <t>추가공사비</t>
        </is>
      </c>
      <c r="B4" s="5" t="n">
        <v>8</v>
      </c>
      <c r="C4" s="5" t="n">
        <v>7</v>
      </c>
      <c r="D4" s="5" t="n">
        <v>7</v>
      </c>
      <c r="E4" s="5" t="n">
        <v>6</v>
      </c>
      <c r="F4" s="5" t="n">
        <v>7</v>
      </c>
      <c r="G4" s="5" t="n">
        <v>6</v>
      </c>
      <c r="H4" s="5" t="n">
        <v>7</v>
      </c>
      <c r="I4" s="5" t="n">
        <v>6</v>
      </c>
      <c r="J4" s="5" t="n">
        <v>6</v>
      </c>
      <c r="K4" s="5" t="n">
        <v>5</v>
      </c>
      <c r="L4" s="5" t="n">
        <v>7</v>
      </c>
      <c r="M4" s="5" t="n">
        <v>6</v>
      </c>
      <c r="N4" s="5" t="n">
        <v>8</v>
      </c>
      <c r="O4" s="5" t="n">
        <v>7</v>
      </c>
      <c r="P4" s="5" t="n">
        <v>7</v>
      </c>
      <c r="Q4" s="5" t="n">
        <v>6</v>
      </c>
      <c r="R4" s="24" t="inlineStr">
        <is>
          <t>매우높음</t>
        </is>
      </c>
    </row>
    <row r="5">
      <c r="A5" s="5" t="inlineStr">
        <is>
          <t>사업지연(인허가)</t>
        </is>
      </c>
      <c r="B5" s="5" t="n">
        <v>6</v>
      </c>
      <c r="C5" s="5" t="n">
        <v>4</v>
      </c>
      <c r="D5" s="5" t="n">
        <v>8</v>
      </c>
      <c r="E5" s="5" t="n">
        <v>7</v>
      </c>
      <c r="F5" s="5" t="n">
        <v>8</v>
      </c>
      <c r="G5" s="5" t="n">
        <v>7</v>
      </c>
      <c r="H5" s="5" t="n">
        <v>7</v>
      </c>
      <c r="I5" s="5" t="n">
        <v>6</v>
      </c>
      <c r="J5" s="5" t="n">
        <v>5</v>
      </c>
      <c r="K5" s="5" t="n">
        <v>3</v>
      </c>
      <c r="L5" s="5" t="n">
        <v>8</v>
      </c>
      <c r="M5" s="5" t="n">
        <v>7</v>
      </c>
      <c r="N5" s="5" t="n">
        <v>9</v>
      </c>
      <c r="O5" s="5" t="n">
        <v>8</v>
      </c>
      <c r="P5" s="5" t="n">
        <v>8</v>
      </c>
      <c r="Q5" s="5" t="n">
        <v>7</v>
      </c>
      <c r="R5" s="24" t="inlineStr">
        <is>
          <t>매우높음</t>
        </is>
      </c>
    </row>
    <row r="6">
      <c r="A6" s="5" t="inlineStr">
        <is>
          <t>조합 내부 갈등</t>
        </is>
      </c>
      <c r="B6" s="5" t="n">
        <v>7</v>
      </c>
      <c r="C6" s="5" t="n">
        <v>4</v>
      </c>
      <c r="D6" s="5" t="n">
        <v>6</v>
      </c>
      <c r="E6" s="5" t="n">
        <v>5</v>
      </c>
      <c r="F6" s="5" t="n">
        <v>6</v>
      </c>
      <c r="G6" s="5" t="n">
        <v>6</v>
      </c>
      <c r="H6" s="5" t="n">
        <v>6</v>
      </c>
      <c r="I6" s="5" t="n">
        <v>5</v>
      </c>
      <c r="J6" s="5" t="n">
        <v>4</v>
      </c>
      <c r="K6" s="5" t="n">
        <v>3</v>
      </c>
      <c r="L6" s="5" t="n">
        <v>6</v>
      </c>
      <c r="M6" s="5" t="n">
        <v>5</v>
      </c>
      <c r="N6" s="5" t="n">
        <v>8</v>
      </c>
      <c r="O6" s="5" t="n">
        <v>7</v>
      </c>
      <c r="P6" s="5" t="n">
        <v>7</v>
      </c>
      <c r="Q6" s="5" t="n">
        <v>6</v>
      </c>
      <c r="R6" s="24" t="inlineStr">
        <is>
          <t>매우높음</t>
        </is>
      </c>
    </row>
    <row r="7">
      <c r="A7" s="5" t="inlineStr">
        <is>
          <t>부동산시장 하락</t>
        </is>
      </c>
      <c r="B7" s="5" t="n">
        <v>9</v>
      </c>
      <c r="C7" s="5" t="n">
        <v>5</v>
      </c>
      <c r="D7" s="5" t="n">
        <v>7</v>
      </c>
      <c r="E7" s="5" t="n">
        <v>5</v>
      </c>
      <c r="F7" s="5" t="n">
        <v>7</v>
      </c>
      <c r="G7" s="5" t="n">
        <v>5</v>
      </c>
      <c r="H7" s="5" t="n">
        <v>7</v>
      </c>
      <c r="I7" s="5" t="n">
        <v>5</v>
      </c>
      <c r="J7" s="5" t="n">
        <v>6</v>
      </c>
      <c r="K7" s="5" t="n">
        <v>5</v>
      </c>
      <c r="L7" s="5" t="n">
        <v>8</v>
      </c>
      <c r="M7" s="5" t="n">
        <v>5</v>
      </c>
      <c r="N7" s="5" t="n">
        <v>8</v>
      </c>
      <c r="O7" s="5" t="n">
        <v>5</v>
      </c>
      <c r="P7" s="5" t="n">
        <v>7</v>
      </c>
      <c r="Q7" s="5" t="n">
        <v>5</v>
      </c>
      <c r="R7" s="25" t="inlineStr">
        <is>
          <t>높음</t>
        </is>
      </c>
    </row>
    <row r="8">
      <c r="A8" s="5" t="inlineStr">
        <is>
          <t>금리 상승</t>
        </is>
      </c>
      <c r="B8" s="5" t="n">
        <v>8</v>
      </c>
      <c r="C8" s="5" t="n">
        <v>4</v>
      </c>
      <c r="D8" s="5" t="n">
        <v>6</v>
      </c>
      <c r="E8" s="5" t="n">
        <v>4</v>
      </c>
      <c r="F8" s="5" t="n">
        <v>6</v>
      </c>
      <c r="G8" s="5" t="n">
        <v>4</v>
      </c>
      <c r="H8" s="5" t="n">
        <v>6</v>
      </c>
      <c r="I8" s="5" t="n">
        <v>4</v>
      </c>
      <c r="J8" s="5" t="n">
        <v>5</v>
      </c>
      <c r="K8" s="5" t="n">
        <v>4</v>
      </c>
      <c r="L8" s="5" t="n">
        <v>7</v>
      </c>
      <c r="M8" s="5" t="n">
        <v>4</v>
      </c>
      <c r="N8" s="5" t="n">
        <v>7</v>
      </c>
      <c r="O8" s="5" t="n">
        <v>4</v>
      </c>
      <c r="P8" s="5" t="n">
        <v>6</v>
      </c>
      <c r="Q8" s="5" t="n">
        <v>4</v>
      </c>
      <c r="R8" s="25" t="inlineStr">
        <is>
          <t>높음</t>
        </is>
      </c>
    </row>
    <row r="9">
      <c r="A9" s="5" t="inlineStr">
        <is>
          <t>정책/규제 강화</t>
        </is>
      </c>
      <c r="B9" s="5" t="n">
        <v>8</v>
      </c>
      <c r="C9" s="5" t="n">
        <v>6</v>
      </c>
      <c r="D9" s="5" t="n">
        <v>7</v>
      </c>
      <c r="E9" s="5" t="n">
        <v>6</v>
      </c>
      <c r="F9" s="5" t="n">
        <v>7</v>
      </c>
      <c r="G9" s="5" t="n">
        <v>6</v>
      </c>
      <c r="H9" s="5" t="n">
        <v>7</v>
      </c>
      <c r="I9" s="5" t="n">
        <v>6</v>
      </c>
      <c r="J9" s="5" t="n">
        <v>6</v>
      </c>
      <c r="K9" s="5" t="n">
        <v>5</v>
      </c>
      <c r="L9" s="5" t="n">
        <v>7</v>
      </c>
      <c r="M9" s="5" t="n">
        <v>6</v>
      </c>
      <c r="N9" s="5" t="n">
        <v>7</v>
      </c>
      <c r="O9" s="5" t="n">
        <v>6</v>
      </c>
      <c r="P9" s="5" t="n">
        <v>7</v>
      </c>
      <c r="Q9" s="5" t="n">
        <v>6</v>
      </c>
      <c r="R9" s="24" t="inlineStr">
        <is>
          <t>매우높음</t>
        </is>
      </c>
    </row>
    <row r="10">
      <c r="A10" s="5" t="inlineStr">
        <is>
          <t>재초환 부담금</t>
        </is>
      </c>
      <c r="B10" s="5" t="n">
        <v>9</v>
      </c>
      <c r="C10" s="5" t="n">
        <v>8</v>
      </c>
      <c r="D10" s="5" t="n">
        <v>7</v>
      </c>
      <c r="E10" s="5" t="n">
        <v>6</v>
      </c>
      <c r="F10" s="5" t="n">
        <v>6</v>
      </c>
      <c r="G10" s="5" t="n">
        <v>6</v>
      </c>
      <c r="H10" s="5" t="n">
        <v>6</v>
      </c>
      <c r="I10" s="5" t="n">
        <v>5</v>
      </c>
      <c r="J10" s="5" t="n">
        <v>5</v>
      </c>
      <c r="K10" s="5" t="n">
        <v>4</v>
      </c>
      <c r="L10" s="5" t="n">
        <v>7</v>
      </c>
      <c r="M10" s="5" t="n">
        <v>6</v>
      </c>
      <c r="N10" s="5" t="n">
        <v>7</v>
      </c>
      <c r="O10" s="5" t="n">
        <v>6</v>
      </c>
      <c r="P10" s="5" t="n">
        <v>5</v>
      </c>
      <c r="Q10" s="5" t="n">
        <v>5</v>
      </c>
      <c r="R10" s="24" t="inlineStr">
        <is>
          <t>매우높음</t>
        </is>
      </c>
    </row>
    <row r="11">
      <c r="A11" s="5" t="inlineStr">
        <is>
          <t>토지거래허가 연장</t>
        </is>
      </c>
      <c r="B11" s="5" t="n">
        <v>7</v>
      </c>
      <c r="C11" s="5" t="n">
        <v>8</v>
      </c>
      <c r="D11" s="5" t="n">
        <v>5</v>
      </c>
      <c r="E11" s="5" t="n">
        <v>6</v>
      </c>
      <c r="F11" s="5" t="n">
        <v>5</v>
      </c>
      <c r="G11" s="5" t="n">
        <v>6</v>
      </c>
      <c r="H11" s="5" t="n">
        <v>5</v>
      </c>
      <c r="I11" s="5" t="n">
        <v>6</v>
      </c>
      <c r="J11" s="5" t="n">
        <v>4</v>
      </c>
      <c r="K11" s="5" t="n">
        <v>5</v>
      </c>
      <c r="L11" s="5" t="n">
        <v>5</v>
      </c>
      <c r="M11" s="5" t="n">
        <v>6</v>
      </c>
      <c r="N11" s="5" t="n">
        <v>5</v>
      </c>
      <c r="O11" s="5" t="n">
        <v>6</v>
      </c>
      <c r="P11" s="5" t="n">
        <v>4</v>
      </c>
      <c r="Q11" s="5" t="n">
        <v>5</v>
      </c>
      <c r="R11" s="24" t="inlineStr">
        <is>
          <t>매우높음</t>
        </is>
      </c>
    </row>
    <row r="12">
      <c r="A12" s="5" t="inlineStr">
        <is>
          <t>분담금 급등</t>
        </is>
      </c>
      <c r="B12" s="5" t="n">
        <v>8</v>
      </c>
      <c r="C12" s="5" t="n">
        <v>5</v>
      </c>
      <c r="D12" s="5" t="n">
        <v>7</v>
      </c>
      <c r="E12" s="5" t="n">
        <v>6</v>
      </c>
      <c r="F12" s="5" t="n">
        <v>7</v>
      </c>
      <c r="G12" s="5" t="n">
        <v>6</v>
      </c>
      <c r="H12" s="5" t="n">
        <v>7</v>
      </c>
      <c r="I12" s="5" t="n">
        <v>6</v>
      </c>
      <c r="J12" s="5" t="n">
        <v>5</v>
      </c>
      <c r="K12" s="5" t="n">
        <v>4</v>
      </c>
      <c r="L12" s="5" t="n">
        <v>7</v>
      </c>
      <c r="M12" s="5" t="n">
        <v>5</v>
      </c>
      <c r="N12" s="5" t="n">
        <v>5</v>
      </c>
      <c r="O12" s="5" t="n">
        <v>3</v>
      </c>
      <c r="P12" s="5" t="n">
        <v>8</v>
      </c>
      <c r="Q12" s="5" t="n">
        <v>7</v>
      </c>
      <c r="R12" s="24" t="inlineStr">
        <is>
          <t>매우높음</t>
        </is>
      </c>
    </row>
    <row r="13">
      <c r="A13" s="5" t="inlineStr">
        <is>
          <t>시공사 리스크</t>
        </is>
      </c>
      <c r="B13" s="5" t="n">
        <v>6</v>
      </c>
      <c r="C13" s="5" t="n">
        <v>2</v>
      </c>
      <c r="D13" s="5" t="n">
        <v>7</v>
      </c>
      <c r="E13" s="5" t="n">
        <v>7</v>
      </c>
      <c r="F13" s="5" t="n">
        <v>7</v>
      </c>
      <c r="G13" s="5" t="n">
        <v>7</v>
      </c>
      <c r="H13" s="5" t="n">
        <v>5</v>
      </c>
      <c r="I13" s="5" t="n">
        <v>3</v>
      </c>
      <c r="J13" s="5" t="n">
        <v>5</v>
      </c>
      <c r="K13" s="5" t="n">
        <v>3</v>
      </c>
      <c r="L13" s="5" t="n">
        <v>8</v>
      </c>
      <c r="M13" s="5" t="n">
        <v>8</v>
      </c>
      <c r="N13" s="5" t="n">
        <v>8</v>
      </c>
      <c r="O13" s="5" t="n">
        <v>8</v>
      </c>
      <c r="P13" s="5" t="n">
        <v>8</v>
      </c>
      <c r="Q13" s="5" t="n">
        <v>8</v>
      </c>
      <c r="R13" s="24" t="inlineStr">
        <is>
          <t>매우높음</t>
        </is>
      </c>
    </row>
    <row r="14">
      <c r="A14" s="5" t="inlineStr">
        <is>
          <t>양도세 중과</t>
        </is>
      </c>
      <c r="B14" s="5" t="n">
        <v>8</v>
      </c>
      <c r="C14" s="5" t="n">
        <v>5</v>
      </c>
      <c r="D14" s="5" t="n">
        <v>6</v>
      </c>
      <c r="E14" s="5" t="n">
        <v>5</v>
      </c>
      <c r="F14" s="5" t="n">
        <v>6</v>
      </c>
      <c r="G14" s="5" t="n">
        <v>5</v>
      </c>
      <c r="H14" s="5" t="n">
        <v>6</v>
      </c>
      <c r="I14" s="5" t="n">
        <v>5</v>
      </c>
      <c r="J14" s="5" t="n">
        <v>5</v>
      </c>
      <c r="K14" s="5" t="n">
        <v>5</v>
      </c>
      <c r="L14" s="5" t="n">
        <v>7</v>
      </c>
      <c r="M14" s="5" t="n">
        <v>5</v>
      </c>
      <c r="N14" s="5" t="n">
        <v>7</v>
      </c>
      <c r="O14" s="5" t="n">
        <v>5</v>
      </c>
      <c r="P14" s="5" t="n">
        <v>6</v>
      </c>
      <c r="Q14" s="5" t="n">
        <v>5</v>
      </c>
      <c r="R14" s="25" t="inlineStr">
        <is>
          <t>높음</t>
        </is>
      </c>
    </row>
    <row r="15">
      <c r="A15" s="5" t="inlineStr">
        <is>
          <t>보유세 증가</t>
        </is>
      </c>
      <c r="B15" s="5" t="n">
        <v>9</v>
      </c>
      <c r="C15" s="5" t="n">
        <v>7</v>
      </c>
      <c r="D15" s="5" t="n">
        <v>6</v>
      </c>
      <c r="E15" s="5" t="n">
        <v>5</v>
      </c>
      <c r="F15" s="5" t="n">
        <v>6</v>
      </c>
      <c r="G15" s="5" t="n">
        <v>5</v>
      </c>
      <c r="H15" s="5" t="n">
        <v>6</v>
      </c>
      <c r="I15" s="5" t="n">
        <v>5</v>
      </c>
      <c r="J15" s="5" t="n">
        <v>5</v>
      </c>
      <c r="K15" s="5" t="n">
        <v>4</v>
      </c>
      <c r="L15" s="5" t="n">
        <v>7</v>
      </c>
      <c r="M15" s="5" t="n">
        <v>6</v>
      </c>
      <c r="N15" s="5" t="n">
        <v>8</v>
      </c>
      <c r="O15" s="5" t="n">
        <v>6</v>
      </c>
      <c r="P15" s="5" t="n">
        <v>6</v>
      </c>
      <c r="Q15" s="5" t="n">
        <v>5</v>
      </c>
      <c r="R15" s="24" t="inlineStr">
        <is>
          <t>매우높음</t>
        </is>
      </c>
    </row>
    <row r="16">
      <c r="A16" s="5" t="inlineStr">
        <is>
          <t>전세유동성 위축(토허)</t>
        </is>
      </c>
      <c r="B16" s="5" t="n">
        <v>9</v>
      </c>
      <c r="C16" s="5" t="n">
        <v>9</v>
      </c>
      <c r="D16" s="5" t="n">
        <v>7</v>
      </c>
      <c r="E16" s="5" t="n">
        <v>7</v>
      </c>
      <c r="F16" s="5" t="n">
        <v>7</v>
      </c>
      <c r="G16" s="5" t="n">
        <v>7</v>
      </c>
      <c r="H16" s="5" t="n">
        <v>8</v>
      </c>
      <c r="I16" s="5" t="n">
        <v>7</v>
      </c>
      <c r="J16" s="5" t="n">
        <v>6</v>
      </c>
      <c r="K16" s="5" t="n">
        <v>6</v>
      </c>
      <c r="L16" s="5" t="n">
        <v>8</v>
      </c>
      <c r="M16" s="5" t="n">
        <v>8</v>
      </c>
      <c r="N16" s="5" t="n">
        <v>7</v>
      </c>
      <c r="O16" s="5" t="n">
        <v>7</v>
      </c>
      <c r="P16" s="5" t="n">
        <v>6</v>
      </c>
      <c r="Q16" s="5" t="n">
        <v>6</v>
      </c>
      <c r="R16" s="24" t="inlineStr">
        <is>
          <t>매우높음</t>
        </is>
      </c>
    </row>
    <row r="17">
      <c r="A17" s="5" t="inlineStr">
        <is>
          <t>실거래 표본부족/왜곡</t>
        </is>
      </c>
      <c r="B17" s="5" t="n">
        <v>3</v>
      </c>
      <c r="C17" s="5" t="n">
        <v>2</v>
      </c>
      <c r="D17" s="5" t="n">
        <v>4</v>
      </c>
      <c r="E17" s="5" t="n">
        <v>3</v>
      </c>
      <c r="F17" s="5" t="n">
        <v>8</v>
      </c>
      <c r="G17" s="5" t="n">
        <v>8</v>
      </c>
      <c r="H17" s="5" t="n">
        <v>5</v>
      </c>
      <c r="I17" s="5" t="n">
        <v>4</v>
      </c>
      <c r="J17" s="5" t="n">
        <v>7</v>
      </c>
      <c r="K17" s="5" t="n">
        <v>7</v>
      </c>
      <c r="L17" s="5" t="n">
        <v>8</v>
      </c>
      <c r="M17" s="5" t="n">
        <v>8</v>
      </c>
      <c r="N17" s="5" t="n">
        <v>4</v>
      </c>
      <c r="O17" s="5" t="n">
        <v>3</v>
      </c>
      <c r="P17" s="5" t="n">
        <v>4</v>
      </c>
      <c r="Q17" s="5" t="n">
        <v>3</v>
      </c>
      <c r="R17" s="24" t="inlineStr">
        <is>
          <t>매우높음</t>
        </is>
      </c>
    </row>
    <row r="18">
      <c r="A18" s="5" t="inlineStr">
        <is>
          <t>가계부채 디레버리징</t>
        </is>
      </c>
      <c r="B18" s="5" t="n">
        <v>7</v>
      </c>
      <c r="C18" s="5" t="n">
        <v>6</v>
      </c>
      <c r="D18" s="5" t="n">
        <v>6</v>
      </c>
      <c r="E18" s="5" t="n">
        <v>6</v>
      </c>
      <c r="F18" s="5" t="n">
        <v>6</v>
      </c>
      <c r="G18" s="5" t="n">
        <v>6</v>
      </c>
      <c r="H18" s="5" t="n">
        <v>6</v>
      </c>
      <c r="I18" s="5" t="n">
        <v>6</v>
      </c>
      <c r="J18" s="5" t="n">
        <v>5</v>
      </c>
      <c r="K18" s="5" t="n">
        <v>5</v>
      </c>
      <c r="L18" s="5" t="n">
        <v>7</v>
      </c>
      <c r="M18" s="5" t="n">
        <v>6</v>
      </c>
      <c r="N18" s="5" t="n">
        <v>7</v>
      </c>
      <c r="O18" s="5" t="n">
        <v>6</v>
      </c>
      <c r="P18" s="5" t="n">
        <v>6</v>
      </c>
      <c r="Q18" s="5" t="n">
        <v>5</v>
      </c>
      <c r="R18" s="25" t="inlineStr">
        <is>
          <t>높음</t>
        </is>
      </c>
    </row>
    <row r="20">
      <c r="A20" s="19" t="inlineStr">
        <is>
          <t>종합 리스크 점수</t>
        </is>
      </c>
      <c r="B20" s="26" t="n">
        <v>43</v>
      </c>
      <c r="D20" s="27" t="n">
        <v>36.6</v>
      </c>
      <c r="F20" s="26" t="n">
        <v>40.1</v>
      </c>
      <c r="H20" s="27" t="n">
        <v>33.6</v>
      </c>
      <c r="J20" s="28" t="n">
        <v>24.5</v>
      </c>
      <c r="L20" s="26" t="n">
        <v>43.7</v>
      </c>
      <c r="N20" s="26" t="n">
        <v>42.1</v>
      </c>
      <c r="P20" s="27" t="n">
        <v>36.3</v>
      </c>
    </row>
  </sheetData>
  <mergeCells count="9">
    <mergeCell ref="D20:E20"/>
    <mergeCell ref="J20:K20"/>
    <mergeCell ref="H20:I20"/>
    <mergeCell ref="N20:O20"/>
    <mergeCell ref="L20:M20"/>
    <mergeCell ref="P20:Q20"/>
    <mergeCell ref="B20:C20"/>
    <mergeCell ref="F20:G20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</cols>
  <sheetData>
    <row r="1" ht="36" customHeight="1">
      <c r="A1" s="1" t="inlineStr">
        <is>
          <t>서울 주요 재건축 완료 사례 벤치마크</t>
        </is>
      </c>
    </row>
    <row r="3" ht="28" customHeight="1">
      <c r="A3" s="3" t="inlineStr">
        <is>
          <t>사업명</t>
        </is>
      </c>
      <c r="B3" s="3" t="inlineStr">
        <is>
          <t>위치</t>
        </is>
      </c>
      <c r="C3" s="3" t="inlineStr">
        <is>
          <t>기존세대</t>
        </is>
      </c>
      <c r="D3" s="3" t="inlineStr">
        <is>
          <t>신축세대</t>
        </is>
      </c>
      <c r="E3" s="3" t="inlineStr">
        <is>
          <t>소요기간</t>
        </is>
      </c>
      <c r="F3" s="3" t="inlineStr">
        <is>
          <t>분양가(84m²)</t>
        </is>
      </c>
      <c r="G3" s="3" t="inlineStr">
        <is>
          <t>현시세(84m²)</t>
        </is>
      </c>
      <c r="H3" s="3" t="inlineStr">
        <is>
          <t>차익</t>
        </is>
      </c>
      <c r="I3" s="3" t="inlineStr">
        <is>
          <t>조합원수익률</t>
        </is>
      </c>
      <c r="J3" s="3" t="inlineStr">
        <is>
          <t>추가공사비</t>
        </is>
      </c>
    </row>
    <row r="4">
      <c r="A4" s="4" t="inlineStr">
        <is>
          <t>둔촌주공→올림픽파크포레온</t>
        </is>
      </c>
      <c r="B4" s="4" t="inlineStr">
        <is>
          <t>강동구</t>
        </is>
      </c>
      <c r="C4" s="4" t="n">
        <v>5930</v>
      </c>
      <c r="D4" s="4" t="n">
        <v>12032</v>
      </c>
      <c r="E4" s="4" t="n">
        <v>16</v>
      </c>
      <c r="F4" s="4" t="n">
        <v>13</v>
      </c>
      <c r="G4" s="4" t="n">
        <v>24</v>
      </c>
      <c r="H4" s="4" t="n">
        <v>11</v>
      </c>
      <c r="I4" s="4" t="inlineStr">
        <is>
          <t>200~300%</t>
        </is>
      </c>
      <c r="J4" s="4" t="inlineStr">
        <is>
          <t>약1조원</t>
        </is>
      </c>
    </row>
    <row r="5">
      <c r="A5" s="5" t="inlineStr">
        <is>
          <t>반포주공1→래미안원베일리</t>
        </is>
      </c>
      <c r="B5" s="5" t="inlineStr">
        <is>
          <t>서초구</t>
        </is>
      </c>
      <c r="C5" s="5" t="n">
        <v>2444</v>
      </c>
      <c r="D5" s="5" t="n">
        <v>2990</v>
      </c>
      <c r="E5" s="5" t="n">
        <v>15</v>
      </c>
      <c r="F5" s="5" t="n">
        <v>20</v>
      </c>
      <c r="G5" s="5" t="n">
        <v>42</v>
      </c>
      <c r="H5" s="5" t="n">
        <v>22</v>
      </c>
      <c r="I5" s="5" t="inlineStr">
        <is>
          <t>150~250%</t>
        </is>
      </c>
      <c r="J5" s="5" t="inlineStr">
        <is>
          <t>일부</t>
        </is>
      </c>
    </row>
    <row r="6">
      <c r="A6" s="4" t="inlineStr">
        <is>
          <t>개포주공1→디에이치포레센트</t>
        </is>
      </c>
      <c r="B6" s="4" t="inlineStr">
        <is>
          <t>강남구</t>
        </is>
      </c>
      <c r="C6" s="4" t="n">
        <v>1980</v>
      </c>
      <c r="D6" s="4" t="n">
        <v>6702</v>
      </c>
      <c r="E6" s="4" t="n">
        <v>14</v>
      </c>
      <c r="F6" s="4" t="n">
        <v>15</v>
      </c>
      <c r="G6" s="4" t="n">
        <v>38</v>
      </c>
      <c r="H6" s="4" t="n">
        <v>23</v>
      </c>
      <c r="I6" s="4" t="inlineStr">
        <is>
          <t>200~300%</t>
        </is>
      </c>
      <c r="J6" s="4" t="inlineStr">
        <is>
          <t>해결</t>
        </is>
      </c>
    </row>
    <row r="7">
      <c r="A7" s="5" t="inlineStr">
        <is>
          <t>개포주공4→래미안포레스트</t>
        </is>
      </c>
      <c r="B7" s="5" t="inlineStr">
        <is>
          <t>강남구</t>
        </is>
      </c>
      <c r="C7" s="5" t="n">
        <v>1100</v>
      </c>
      <c r="D7" s="5" t="n">
        <v>3375</v>
      </c>
      <c r="E7" s="5" t="n">
        <v>12</v>
      </c>
      <c r="F7" s="5" t="n">
        <v>14</v>
      </c>
      <c r="G7" s="5" t="n">
        <v>35</v>
      </c>
      <c r="H7" s="5" t="n">
        <v>21</v>
      </c>
      <c r="I7" s="5" t="inlineStr">
        <is>
          <t>180~280%</t>
        </is>
      </c>
      <c r="J7" s="5" t="inlineStr">
        <is>
          <t>없음</t>
        </is>
      </c>
    </row>
    <row r="8">
      <c r="A8" s="4" t="inlineStr">
        <is>
          <t>잠실주공1~4→잠실르엘</t>
        </is>
      </c>
      <c r="B8" s="4" t="inlineStr">
        <is>
          <t>송파구</t>
        </is>
      </c>
      <c r="C8" s="4" t="n">
        <v>5678</v>
      </c>
      <c r="D8" s="4" t="n">
        <v>6300</v>
      </c>
      <c r="E8" s="4" t="n">
        <v>13</v>
      </c>
      <c r="F8" s="4" t="n">
        <v>13.5</v>
      </c>
      <c r="G8" s="4" t="n">
        <v>30</v>
      </c>
      <c r="H8" s="4" t="n">
        <v>16.5</v>
      </c>
      <c r="I8" s="4" t="inlineStr">
        <is>
          <t>150~250%</t>
        </is>
      </c>
      <c r="J8" s="4" t="inlineStr">
        <is>
          <t>일부</t>
        </is>
      </c>
    </row>
    <row r="11">
      <c r="A11" s="2" t="inlineStr">
        <is>
          <t>[벤치마크 시사점]</t>
        </is>
      </c>
    </row>
    <row r="12">
      <c r="A12" s="29" t="inlineStr">
        <is>
          <t>1. 서울 재건축 평균 소요기간: 조합설립~입주 약 10~16년</t>
        </is>
      </c>
    </row>
    <row r="13">
      <c r="A13" s="29" t="inlineStr">
        <is>
          <t>2. 분양가 대비 현시세 평균 프리미엄: 100~200% 상승</t>
        </is>
      </c>
    </row>
    <row r="14">
      <c r="A14" s="29" t="inlineStr">
        <is>
          <t>3. 추가공사비 이슈는 5천세대+ 대단지에서 빈번 → 주공5/선수촌 주의</t>
        </is>
      </c>
    </row>
    <row r="15">
      <c r="A15" s="29" t="inlineStr">
        <is>
          <t>4. 초기 매입가 낮을수록 ROI 극대화 → 우성4차/훼밀리 유리</t>
        </is>
      </c>
    </row>
    <row r="16">
      <c r="A16" s="29" t="inlineStr">
        <is>
          <t>5. 한강변+강남권 입지 = 완공후 시세 프리미엄 극대화</t>
        </is>
      </c>
    </row>
    <row r="17">
      <c r="A17" s="29" t="inlineStr">
        <is>
          <t>6. 시공사 브랜드가 완공후 5~10% 추가 프리미엄</t>
        </is>
      </c>
    </row>
  </sheetData>
  <mergeCells count="8">
    <mergeCell ref="A1:J1"/>
    <mergeCell ref="A14:J14"/>
    <mergeCell ref="A17:J17"/>
    <mergeCell ref="A12:J12"/>
    <mergeCell ref="A15:J15"/>
    <mergeCell ref="A16:J16"/>
    <mergeCell ref="A13:J13"/>
    <mergeCell ref="A11:J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확률(분위수)+레짐 기반 시나리오 수익 시뮬레이션 (투자자)</t>
        </is>
      </c>
    </row>
    <row r="3">
      <c r="A3" s="30" t="inlineStr">
        <is>
          <t>모델 요약: MCP 신뢰도·리스크·진행률·벤치마크(IQR=2.0, 중앙값=14.0년) 기반으로 Bull/Base/Bear를 산정</t>
        </is>
      </c>
    </row>
    <row r="4">
      <c r="A4" s="30" t="inlineStr">
        <is>
          <t>확률 가중치: Bull 20% / Base 50% / Bear 30% (정적 3점 추정이 아니라 분위수 기반 대역폭 적용)</t>
        </is>
      </c>
    </row>
    <row r="5" ht="28" customHeight="1">
      <c r="A5" s="3" t="inlineStr">
        <is>
          <t>시나리오</t>
        </is>
      </c>
      <c r="B5" s="3" t="inlineStr">
        <is>
          <t>분위수(가격/비용)</t>
        </is>
      </c>
      <c r="C5" s="3" t="inlineStr">
        <is>
          <t>가중확률</t>
        </is>
      </c>
      <c r="D5" s="3" t="inlineStr">
        <is>
          <t>정책레짐(가격/분담금/기간)</t>
        </is>
      </c>
      <c r="E5" s="3" t="inlineStr">
        <is>
          <t>설명</t>
        </is>
      </c>
    </row>
    <row r="6">
      <c r="A6" s="4" t="inlineStr">
        <is>
          <t>낙관 (Bull / P90)</t>
        </is>
      </c>
      <c r="B6" s="4" t="inlineStr">
        <is>
          <t>P90 / P25</t>
        </is>
      </c>
      <c r="C6" s="4" t="inlineStr">
        <is>
          <t>20%</t>
        </is>
      </c>
      <c r="D6" s="4" t="inlineStr">
        <is>
          <t>+0.03 / +0.03 / +0.03</t>
        </is>
      </c>
      <c r="E6" s="4" t="inlineStr">
        <is>
          <t>가격 P90 · 비용/기간 P25, 금리완화·정책완화 레짐</t>
        </is>
      </c>
    </row>
    <row r="7">
      <c r="A7" s="5" t="inlineStr">
        <is>
          <t>중립 (Base / P50)</t>
        </is>
      </c>
      <c r="B7" s="5" t="inlineStr">
        <is>
          <t>P50 / P50</t>
        </is>
      </c>
      <c r="C7" s="5" t="inlineStr">
        <is>
          <t>50%</t>
        </is>
      </c>
      <c r="D7" s="5" t="inlineStr">
        <is>
          <t>+0.00 / +0.00 / +0.00</t>
        </is>
      </c>
      <c r="E7" s="5" t="inlineStr">
        <is>
          <t>가격/비용/기간 P50, 현재 규제·금리 레짐 유지</t>
        </is>
      </c>
    </row>
    <row r="8">
      <c r="A8" s="4" t="inlineStr">
        <is>
          <t>비관 (Bear / P10)</t>
        </is>
      </c>
      <c r="B8" s="4" t="inlineStr">
        <is>
          <t>P10 / P90</t>
        </is>
      </c>
      <c r="C8" s="4" t="inlineStr">
        <is>
          <t>30%</t>
        </is>
      </c>
      <c r="D8" s="4" t="inlineStr">
        <is>
          <t>+0.04 / +0.05 / +0.06</t>
        </is>
      </c>
      <c r="E8" s="4" t="inlineStr">
        <is>
          <t>가격 P10 · 비용/기간 P90, 금리상승·규제강화 레짐</t>
        </is>
      </c>
    </row>
    <row r="10" ht="30" customHeight="1">
      <c r="A10" s="31" t="inlineStr">
        <is>
          <t>시나리오: 낙관 (Bull / P90)</t>
        </is>
      </c>
    </row>
    <row r="11">
      <c r="A11" s="30" t="inlineStr">
        <is>
          <t>전제: 가격 P90 · 비용/기간 P25, 금리완화·정책완화 레짐 (가중확률 20%)</t>
        </is>
      </c>
    </row>
    <row r="12" ht="28" customHeight="1">
      <c r="A12" s="3" t="inlineStr">
        <is>
          <t>항목</t>
        </is>
      </c>
      <c r="B12" s="3" t="inlineStr">
        <is>
          <t>주공5</t>
        </is>
      </c>
      <c r="C12" s="3" t="inlineStr">
        <is>
          <t>장미1·2</t>
        </is>
      </c>
      <c r="D12" s="3" t="inlineStr">
        <is>
          <t>장미3</t>
        </is>
      </c>
      <c r="E12" s="3" t="inlineStr">
        <is>
          <t>우성1·2·3</t>
        </is>
      </c>
      <c r="F12" s="3" t="inlineStr">
        <is>
          <t>우성4</t>
        </is>
      </c>
      <c r="G12" s="3" t="inlineStr">
        <is>
          <t>아시아</t>
        </is>
      </c>
      <c r="H12" s="3" t="inlineStr">
        <is>
          <t>선수촌</t>
        </is>
      </c>
      <c r="I12" s="3" t="inlineStr">
        <is>
          <t>훼밀리</t>
        </is>
      </c>
    </row>
    <row r="13">
      <c r="A13" s="4" t="inlineStr">
        <is>
          <t>예상신축가(억)</t>
        </is>
      </c>
      <c r="B13" s="4" t="n">
        <v>56.9</v>
      </c>
      <c r="C13" s="4" t="n">
        <v>49.4</v>
      </c>
      <c r="D13" s="4" t="n">
        <v>48.7</v>
      </c>
      <c r="E13" s="4" t="n">
        <v>51</v>
      </c>
      <c r="F13" s="4" t="n">
        <v>42.5</v>
      </c>
      <c r="G13" s="4" t="n">
        <v>56.1</v>
      </c>
      <c r="H13" s="4" t="n">
        <v>44.8</v>
      </c>
      <c r="I13" s="4" t="n">
        <v>40.3</v>
      </c>
    </row>
    <row r="14">
      <c r="A14" s="5" t="inlineStr">
        <is>
          <t>분담금(억)</t>
        </is>
      </c>
      <c r="B14" s="5" t="n">
        <v>3.1</v>
      </c>
      <c r="C14" s="5" t="n">
        <v>2.4</v>
      </c>
      <c r="D14" s="5" t="n">
        <v>2.3</v>
      </c>
      <c r="E14" s="5" t="n">
        <v>2.4</v>
      </c>
      <c r="F14" s="5" t="n">
        <v>1.7</v>
      </c>
      <c r="G14" s="5" t="n">
        <v>3</v>
      </c>
      <c r="H14" s="5" t="n">
        <v>1.6</v>
      </c>
      <c r="I14" s="5" t="n">
        <v>3.8</v>
      </c>
    </row>
    <row r="15">
      <c r="A15" s="4" t="inlineStr">
        <is>
          <t>이주기간(년)</t>
        </is>
      </c>
      <c r="B15" s="4" t="n">
        <v>3.9</v>
      </c>
      <c r="C15" s="4" t="n">
        <v>3.5</v>
      </c>
      <c r="D15" s="4" t="n">
        <v>3.4</v>
      </c>
      <c r="E15" s="4" t="n">
        <v>3.5</v>
      </c>
      <c r="F15" s="4" t="n">
        <v>2.5</v>
      </c>
      <c r="G15" s="4" t="n">
        <v>4.7</v>
      </c>
      <c r="H15" s="4" t="n">
        <v>5.4</v>
      </c>
      <c r="I15" s="4" t="n">
        <v>5.4</v>
      </c>
    </row>
    <row r="16">
      <c r="A16" s="5" t="inlineStr">
        <is>
          <t>총투자비(억)</t>
        </is>
      </c>
      <c r="B16" s="5" t="n">
        <v>52.5</v>
      </c>
      <c r="C16" s="5" t="n">
        <v>35.7</v>
      </c>
      <c r="D16" s="5" t="n">
        <v>33.2</v>
      </c>
      <c r="E16" s="5" t="n">
        <v>36.3</v>
      </c>
      <c r="F16" s="5" t="n">
        <v>27.5</v>
      </c>
      <c r="G16" s="5" t="n">
        <v>41.6</v>
      </c>
      <c r="H16" s="5" t="n">
        <v>35</v>
      </c>
      <c r="I16" s="5" t="n">
        <v>32.2</v>
      </c>
    </row>
    <row r="17">
      <c r="A17" s="4" t="inlineStr">
        <is>
          <t>예상차익(억)</t>
        </is>
      </c>
      <c r="B17" s="4" t="n">
        <v>-0</v>
      </c>
      <c r="C17" s="11" t="n">
        <v>8</v>
      </c>
      <c r="D17" s="11" t="n">
        <v>9.6</v>
      </c>
      <c r="E17" s="11" t="n">
        <v>8.800000000000001</v>
      </c>
      <c r="F17" s="11" t="n">
        <v>9.699999999999999</v>
      </c>
      <c r="G17" s="11" t="n">
        <v>7.9</v>
      </c>
      <c r="H17" s="11" t="n">
        <v>4.9</v>
      </c>
      <c r="I17" s="11" t="n">
        <v>3.4</v>
      </c>
    </row>
    <row r="18">
      <c r="A18" s="5" t="inlineStr">
        <is>
          <t>ROI(초기원가,%)</t>
        </is>
      </c>
      <c r="B18" s="10" t="n">
        <v>-0.1</v>
      </c>
      <c r="C18" s="11" t="n">
        <v>29</v>
      </c>
      <c r="D18" s="11" t="n">
        <v>37.1</v>
      </c>
      <c r="E18" s="11" t="n">
        <v>31.2</v>
      </c>
      <c r="F18" s="11" t="n">
        <v>43.7</v>
      </c>
      <c r="G18" s="11" t="n">
        <v>25.7</v>
      </c>
      <c r="H18" s="11" t="n">
        <v>19</v>
      </c>
      <c r="I18" s="11" t="n">
        <v>15.4</v>
      </c>
    </row>
    <row r="19">
      <c r="A19" s="4" t="inlineStr">
        <is>
          <t>ROI(총투자비,%)</t>
        </is>
      </c>
      <c r="B19" s="10" t="n">
        <v>-0.1</v>
      </c>
      <c r="C19" s="11" t="n">
        <v>22.5</v>
      </c>
      <c r="D19" s="11" t="n">
        <v>28.9</v>
      </c>
      <c r="E19" s="11" t="n">
        <v>24.2</v>
      </c>
      <c r="F19" s="11" t="n">
        <v>35.3</v>
      </c>
      <c r="G19" s="11" t="n">
        <v>19.1</v>
      </c>
      <c r="H19" s="11" t="n">
        <v>14.2</v>
      </c>
      <c r="I19" s="11" t="n">
        <v>10.7</v>
      </c>
    </row>
    <row r="20">
      <c r="A20" s="5" t="inlineStr">
        <is>
          <t>연환산CAGR(%)</t>
        </is>
      </c>
      <c r="B20" s="11" t="n">
        <v>1.6</v>
      </c>
      <c r="C20" s="11" t="n">
        <v>7.5</v>
      </c>
      <c r="D20" s="11" t="n">
        <v>9.1</v>
      </c>
      <c r="E20" s="11" t="n">
        <v>7.9</v>
      </c>
      <c r="F20" s="11" t="n">
        <v>13.2</v>
      </c>
      <c r="G20" s="11" t="n">
        <v>5.4</v>
      </c>
      <c r="H20" s="11" t="n">
        <v>4</v>
      </c>
      <c r="I20" s="11" t="n">
        <v>3.6</v>
      </c>
    </row>
    <row r="22" ht="30" customHeight="1">
      <c r="A22" s="32" t="inlineStr">
        <is>
          <t>시나리오: 중립 (Base / P50)</t>
        </is>
      </c>
    </row>
    <row r="23">
      <c r="A23" s="30" t="inlineStr">
        <is>
          <t>전제: 가격/비용/기간 P50, 현재 규제·금리 레짐 유지 (가중확률 50%)</t>
        </is>
      </c>
    </row>
    <row r="24" ht="28" customHeight="1">
      <c r="A24" s="3" t="inlineStr">
        <is>
          <t>항목</t>
        </is>
      </c>
      <c r="B24" s="3" t="inlineStr">
        <is>
          <t>주공5</t>
        </is>
      </c>
      <c r="C24" s="3" t="inlineStr">
        <is>
          <t>장미1·2</t>
        </is>
      </c>
      <c r="D24" s="3" t="inlineStr">
        <is>
          <t>장미3</t>
        </is>
      </c>
      <c r="E24" s="3" t="inlineStr">
        <is>
          <t>우성1·2·3</t>
        </is>
      </c>
      <c r="F24" s="3" t="inlineStr">
        <is>
          <t>우성4</t>
        </is>
      </c>
      <c r="G24" s="3" t="inlineStr">
        <is>
          <t>아시아</t>
        </is>
      </c>
      <c r="H24" s="3" t="inlineStr">
        <is>
          <t>선수촌</t>
        </is>
      </c>
      <c r="I24" s="3" t="inlineStr">
        <is>
          <t>훼밀리</t>
        </is>
      </c>
    </row>
    <row r="25">
      <c r="A25" s="4" t="inlineStr">
        <is>
          <t>예상신축가(억)</t>
        </is>
      </c>
      <c r="B25" s="4" t="n">
        <v>46.3</v>
      </c>
      <c r="C25" s="4" t="n">
        <v>40.7</v>
      </c>
      <c r="D25" s="4" t="n">
        <v>38.5</v>
      </c>
      <c r="E25" s="4" t="n">
        <v>41.5</v>
      </c>
      <c r="F25" s="4" t="n">
        <v>34.5</v>
      </c>
      <c r="G25" s="4" t="n">
        <v>43.4</v>
      </c>
      <c r="H25" s="4" t="n">
        <v>36.4</v>
      </c>
      <c r="I25" s="4" t="n">
        <v>33.1</v>
      </c>
    </row>
    <row r="26">
      <c r="A26" s="5" t="inlineStr">
        <is>
          <t>분담금(억)</t>
        </is>
      </c>
      <c r="B26" s="5" t="n">
        <v>3.5</v>
      </c>
      <c r="C26" s="5" t="n">
        <v>2.7</v>
      </c>
      <c r="D26" s="5" t="n">
        <v>2.7</v>
      </c>
      <c r="E26" s="5" t="n">
        <v>2.7</v>
      </c>
      <c r="F26" s="5" t="n">
        <v>2</v>
      </c>
      <c r="G26" s="5" t="n">
        <v>3.5</v>
      </c>
      <c r="H26" s="5" t="n">
        <v>1.8</v>
      </c>
      <c r="I26" s="5" t="n">
        <v>4.2</v>
      </c>
    </row>
    <row r="27">
      <c r="A27" s="4" t="inlineStr">
        <is>
          <t>이주기간(년)</t>
        </is>
      </c>
      <c r="B27" s="4" t="n">
        <v>4.5</v>
      </c>
      <c r="C27" s="4" t="n">
        <v>4</v>
      </c>
      <c r="D27" s="4" t="n">
        <v>4</v>
      </c>
      <c r="E27" s="4" t="n">
        <v>4</v>
      </c>
      <c r="F27" s="4" t="n">
        <v>3</v>
      </c>
      <c r="G27" s="4" t="n">
        <v>5.5</v>
      </c>
      <c r="H27" s="4" t="n">
        <v>6</v>
      </c>
      <c r="I27" s="4" t="n">
        <v>6</v>
      </c>
    </row>
    <row r="28">
      <c r="A28" s="5" t="inlineStr">
        <is>
          <t>총투자비(억)</t>
        </is>
      </c>
      <c r="B28" s="5" t="n">
        <v>53.7</v>
      </c>
      <c r="C28" s="5" t="n">
        <v>36.3</v>
      </c>
      <c r="D28" s="5" t="n">
        <v>33.9</v>
      </c>
      <c r="E28" s="5" t="n">
        <v>36.9</v>
      </c>
      <c r="F28" s="5" t="n">
        <v>28</v>
      </c>
      <c r="G28" s="5" t="n">
        <v>42.8</v>
      </c>
      <c r="H28" s="5" t="n">
        <v>35.6</v>
      </c>
      <c r="I28" s="5" t="n">
        <v>32.9</v>
      </c>
    </row>
    <row r="29">
      <c r="A29" s="4" t="inlineStr">
        <is>
          <t>예상차익(억)</t>
        </is>
      </c>
      <c r="B29" s="10" t="n">
        <v>-9.199999999999999</v>
      </c>
      <c r="C29" s="11" t="n">
        <v>0.9</v>
      </c>
      <c r="D29" s="11" t="n">
        <v>1.2</v>
      </c>
      <c r="E29" s="11" t="n">
        <v>1</v>
      </c>
      <c r="F29" s="11" t="n">
        <v>3.2</v>
      </c>
      <c r="G29" s="10" t="n">
        <v>-2.8</v>
      </c>
      <c r="H29" s="10" t="n">
        <v>-2</v>
      </c>
      <c r="I29" s="10" t="n">
        <v>-2.7</v>
      </c>
    </row>
    <row r="30">
      <c r="A30" s="5" t="inlineStr">
        <is>
          <t>ROI(초기원가,%)</t>
        </is>
      </c>
      <c r="B30" s="10" t="n">
        <v>-22.5</v>
      </c>
      <c r="C30" s="11" t="n">
        <v>3.1</v>
      </c>
      <c r="D30" s="11" t="n">
        <v>4.7</v>
      </c>
      <c r="E30" s="11" t="n">
        <v>3.6</v>
      </c>
      <c r="F30" s="11" t="n">
        <v>14.4</v>
      </c>
      <c r="G30" s="10" t="n">
        <v>-9</v>
      </c>
      <c r="H30" s="10" t="n">
        <v>-7.5</v>
      </c>
      <c r="I30" s="10" t="n">
        <v>-12.1</v>
      </c>
    </row>
    <row r="31">
      <c r="A31" s="4" t="inlineStr">
        <is>
          <t>ROI(총투자비,%)</t>
        </is>
      </c>
      <c r="B31" s="10" t="n">
        <v>-17.1</v>
      </c>
      <c r="C31" s="11" t="n">
        <v>2.4</v>
      </c>
      <c r="D31" s="11" t="n">
        <v>3.6</v>
      </c>
      <c r="E31" s="11" t="n">
        <v>2.7</v>
      </c>
      <c r="F31" s="11" t="n">
        <v>11.4</v>
      </c>
      <c r="G31" s="10" t="n">
        <v>-6.5</v>
      </c>
      <c r="H31" s="10" t="n">
        <v>-5.5</v>
      </c>
      <c r="I31" s="10" t="n">
        <v>-8.199999999999999</v>
      </c>
    </row>
    <row r="32">
      <c r="A32" s="5" t="inlineStr">
        <is>
          <t>연환산CAGR(%)</t>
        </is>
      </c>
      <c r="B32" s="10" t="n">
        <v>-2.7</v>
      </c>
      <c r="C32" s="11" t="n">
        <v>2.3</v>
      </c>
      <c r="D32" s="11" t="n">
        <v>2.6</v>
      </c>
      <c r="E32" s="11" t="n">
        <v>2.4</v>
      </c>
      <c r="F32" s="11" t="n">
        <v>5.3</v>
      </c>
      <c r="G32" s="11" t="n">
        <v>0.2</v>
      </c>
      <c r="H32" s="11" t="n">
        <v>0.3</v>
      </c>
      <c r="I32" s="11" t="n">
        <v>0.1</v>
      </c>
    </row>
    <row r="34" ht="30" customHeight="1">
      <c r="A34" s="33" t="inlineStr">
        <is>
          <t>시나리오: 비관 (Bear / P10)</t>
        </is>
      </c>
    </row>
    <row r="35">
      <c r="A35" s="30" t="inlineStr">
        <is>
          <t>전제: 가격 P10 · 비용/기간 P90, 금리상승·규제강화 레짐 (가중확률 30%)</t>
        </is>
      </c>
    </row>
    <row r="36" ht="28" customHeight="1">
      <c r="A36" s="3" t="inlineStr">
        <is>
          <t>항목</t>
        </is>
      </c>
      <c r="B36" s="3" t="inlineStr">
        <is>
          <t>주공5</t>
        </is>
      </c>
      <c r="C36" s="3" t="inlineStr">
        <is>
          <t>장미1·2</t>
        </is>
      </c>
      <c r="D36" s="3" t="inlineStr">
        <is>
          <t>장미3</t>
        </is>
      </c>
      <c r="E36" s="3" t="inlineStr">
        <is>
          <t>우성1·2·3</t>
        </is>
      </c>
      <c r="F36" s="3" t="inlineStr">
        <is>
          <t>우성4</t>
        </is>
      </c>
      <c r="G36" s="3" t="inlineStr">
        <is>
          <t>아시아</t>
        </is>
      </c>
      <c r="H36" s="3" t="inlineStr">
        <is>
          <t>선수촌</t>
        </is>
      </c>
      <c r="I36" s="3" t="inlineStr">
        <is>
          <t>훼밀리</t>
        </is>
      </c>
    </row>
    <row r="37">
      <c r="A37" s="4" t="inlineStr">
        <is>
          <t>예상신축가(억)</t>
        </is>
      </c>
      <c r="B37" s="4" t="n">
        <v>38.5</v>
      </c>
      <c r="C37" s="4" t="n">
        <v>33.5</v>
      </c>
      <c r="D37" s="4" t="n">
        <v>29.4</v>
      </c>
      <c r="E37" s="4" t="n">
        <v>34.3</v>
      </c>
      <c r="F37" s="4" t="n">
        <v>29.1</v>
      </c>
      <c r="G37" s="4" t="n">
        <v>30.8</v>
      </c>
      <c r="H37" s="4" t="n">
        <v>28</v>
      </c>
      <c r="I37" s="4" t="n">
        <v>25.8</v>
      </c>
    </row>
    <row r="38">
      <c r="A38" s="5" t="inlineStr">
        <is>
          <t>분담금(억)</t>
        </is>
      </c>
      <c r="B38" s="5" t="n">
        <v>4.2</v>
      </c>
      <c r="C38" s="5" t="n">
        <v>3.3</v>
      </c>
      <c r="D38" s="5" t="n">
        <v>3.5</v>
      </c>
      <c r="E38" s="5" t="n">
        <v>3.3</v>
      </c>
      <c r="F38" s="5" t="n">
        <v>2.4</v>
      </c>
      <c r="G38" s="5" t="n">
        <v>4.6</v>
      </c>
      <c r="H38" s="5" t="n">
        <v>2.2</v>
      </c>
      <c r="I38" s="5" t="n">
        <v>5.2</v>
      </c>
    </row>
    <row r="39">
      <c r="A39" s="4" t="inlineStr">
        <is>
          <t>이주기간(년)</t>
        </is>
      </c>
      <c r="B39" s="4" t="n">
        <v>5.6</v>
      </c>
      <c r="C39" s="4" t="n">
        <v>5</v>
      </c>
      <c r="D39" s="4" t="n">
        <v>5.3</v>
      </c>
      <c r="E39" s="4" t="n">
        <v>5</v>
      </c>
      <c r="F39" s="4" t="n">
        <v>3.8</v>
      </c>
      <c r="G39" s="4" t="n">
        <v>7.5</v>
      </c>
      <c r="H39" s="4" t="n">
        <v>7.7</v>
      </c>
      <c r="I39" s="4" t="n">
        <v>7.6</v>
      </c>
    </row>
    <row r="40">
      <c r="A40" s="5" t="inlineStr">
        <is>
          <t>총투자비(억)</t>
        </is>
      </c>
      <c r="B40" s="5" t="n">
        <v>56.2</v>
      </c>
      <c r="C40" s="5" t="n">
        <v>37.9</v>
      </c>
      <c r="D40" s="5" t="n">
        <v>35.8</v>
      </c>
      <c r="E40" s="5" t="n">
        <v>38.5</v>
      </c>
      <c r="F40" s="5" t="n">
        <v>29</v>
      </c>
      <c r="G40" s="5" t="n">
        <v>46.1</v>
      </c>
      <c r="H40" s="5" t="n">
        <v>37.6</v>
      </c>
      <c r="I40" s="5" t="n">
        <v>35.1</v>
      </c>
    </row>
    <row r="41">
      <c r="A41" s="4" t="inlineStr">
        <is>
          <t>예상차익(억)</t>
        </is>
      </c>
      <c r="B41" s="10" t="n">
        <v>-17.7</v>
      </c>
      <c r="C41" s="10" t="n">
        <v>-6.1</v>
      </c>
      <c r="D41" s="10" t="n">
        <v>-7.5</v>
      </c>
      <c r="E41" s="10" t="n">
        <v>-6</v>
      </c>
      <c r="F41" s="10" t="n">
        <v>-1.8</v>
      </c>
      <c r="G41" s="10" t="n">
        <v>-15.5</v>
      </c>
      <c r="H41" s="10" t="n">
        <v>-10.3</v>
      </c>
      <c r="I41" s="10" t="n">
        <v>-10.4</v>
      </c>
    </row>
    <row r="42">
      <c r="A42" s="5" t="inlineStr">
        <is>
          <t>ROI(초기원가,%)</t>
        </is>
      </c>
      <c r="B42" s="10" t="n">
        <v>-43.5</v>
      </c>
      <c r="C42" s="10" t="n">
        <v>-22.1</v>
      </c>
      <c r="D42" s="10" t="n">
        <v>-29</v>
      </c>
      <c r="E42" s="10" t="n">
        <v>-21.4</v>
      </c>
      <c r="F42" s="10" t="n">
        <v>-8.199999999999999</v>
      </c>
      <c r="G42" s="10" t="n">
        <v>-50.4</v>
      </c>
      <c r="H42" s="10" t="n">
        <v>-39.4</v>
      </c>
      <c r="I42" s="10" t="n">
        <v>-46.8</v>
      </c>
    </row>
    <row r="43">
      <c r="A43" s="4" t="inlineStr">
        <is>
          <t>ROI(총투자비,%)</t>
        </is>
      </c>
      <c r="B43" s="10" t="n">
        <v>-31.5</v>
      </c>
      <c r="C43" s="10" t="n">
        <v>-16.1</v>
      </c>
      <c r="D43" s="10" t="n">
        <v>-21</v>
      </c>
      <c r="E43" s="10" t="n">
        <v>-15.6</v>
      </c>
      <c r="F43" s="10" t="n">
        <v>-6.3</v>
      </c>
      <c r="G43" s="10" t="n">
        <v>-33.7</v>
      </c>
      <c r="H43" s="10" t="n">
        <v>-27.4</v>
      </c>
      <c r="I43" s="10" t="n">
        <v>-29.6</v>
      </c>
    </row>
    <row r="44">
      <c r="A44" s="5" t="inlineStr">
        <is>
          <t>연환산CAGR(%)</t>
        </is>
      </c>
      <c r="B44" s="10" t="n">
        <v>-5.6</v>
      </c>
      <c r="C44" s="10" t="n">
        <v>-2</v>
      </c>
      <c r="D44" s="10" t="n">
        <v>-3.1</v>
      </c>
      <c r="E44" s="10" t="n">
        <v>-1.9</v>
      </c>
      <c r="F44" s="11" t="n">
        <v>0.1</v>
      </c>
      <c r="G44" s="10" t="n">
        <v>-4.6</v>
      </c>
      <c r="H44" s="10" t="n">
        <v>-3.3</v>
      </c>
      <c r="I44" s="10" t="n">
        <v>-3.5</v>
      </c>
    </row>
  </sheetData>
  <mergeCells count="9">
    <mergeCell ref="A11:I11"/>
    <mergeCell ref="A10:I10"/>
    <mergeCell ref="A1:I1"/>
    <mergeCell ref="A23:I23"/>
    <mergeCell ref="A3:I3"/>
    <mergeCell ref="A22:I22"/>
    <mergeCell ref="A34:I34"/>
    <mergeCell ref="A35:I35"/>
    <mergeCell ref="A4: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34" customWidth="1" min="10" max="10"/>
  </cols>
  <sheetData>
    <row r="1" ht="36" customHeight="1">
      <c r="A1" s="1" t="inlineStr">
        <is>
          <t>시나리오 방법론 상세 (확률/레짐/벤치마크 보정, 투자자)</t>
        </is>
      </c>
    </row>
    <row r="3">
      <c r="A3" s="2" t="inlineStr">
        <is>
          <t>[1] 모델 흐름</t>
        </is>
      </c>
    </row>
    <row r="4">
      <c r="A4" s="34" t="inlineStr">
        <is>
          <t>① MCP 실거래 12개월 표본으로 데이터 신뢰도(고/중/저)와 불확실성 점수 산정</t>
        </is>
      </c>
    </row>
    <row r="5">
      <c r="A5" s="34" t="inlineStr">
        <is>
          <t>② 리스크 매트릭스(영향×확률)의 단지별 평균으로 리스크 강도 정규화</t>
        </is>
      </c>
    </row>
    <row r="6">
      <c r="A6" s="34" t="inlineStr">
        <is>
          <t>③ 매매가 1/3/5년 CAGR 가중합(0.5/0.3/0.2)으로 단기·중기 모멘텀 계산</t>
        </is>
      </c>
    </row>
    <row r="7">
      <c r="A7" s="34" t="inlineStr">
        <is>
          <t>④ 진행률(사업 단계)에 따라 상방/하방 비대칭(지연·분담금 스트레스)을 반영</t>
        </is>
      </c>
    </row>
    <row r="8">
      <c r="A8" s="34" t="inlineStr">
        <is>
          <t>⑤ 벤치마크 소요기간(IQR/중앙값)으로 기간 변동성 하한을 캘리브레이션</t>
        </is>
      </c>
    </row>
    <row r="9">
      <c r="A9" s="34" t="inlineStr">
        <is>
          <t>⑥ Bull/Base/Bear를 P90/P50/P10 가격과 P25/P50/P90 비용·기간으로 맵핑</t>
        </is>
      </c>
    </row>
    <row r="10">
      <c r="A10" s="34" t="inlineStr">
        <is>
          <t>⑦ 프로필(실거주/투자자/법인)에 따라 가격·비용·지연 민감도(beta)를 차등 적용</t>
        </is>
      </c>
    </row>
    <row r="12">
      <c r="A12" s="2" t="inlineStr">
        <is>
          <t>[2] 핵심 산식/규칙</t>
        </is>
      </c>
    </row>
    <row r="13" ht="28" customHeight="1">
      <c r="A13" s="3" t="inlineStr">
        <is>
          <t>구분</t>
        </is>
      </c>
      <c r="B13" s="3" t="inlineStr">
        <is>
          <t>정의</t>
        </is>
      </c>
      <c r="C13" s="3" t="inlineStr">
        <is>
          <t>입력데이터</t>
        </is>
      </c>
      <c r="D13" s="3" t="inlineStr">
        <is>
          <t>식/규칙</t>
        </is>
      </c>
      <c r="E13" s="3" t="inlineStr">
        <is>
          <t>해석</t>
        </is>
      </c>
    </row>
    <row r="14">
      <c r="A14" s="4" t="inlineStr">
        <is>
          <t>모멘텀</t>
        </is>
      </c>
      <c r="B14" s="4" t="inlineStr">
        <is>
          <t>단지별 가격추세</t>
        </is>
      </c>
      <c r="C14" s="4" t="inlineStr">
        <is>
          <t>현재/1년전/3년전/5년전</t>
        </is>
      </c>
      <c r="D14" s="4" t="inlineStr">
        <is>
          <t>0.50*CAGR1 + 0.30*CAGR3 + 0.20*CAGR5</t>
        </is>
      </c>
      <c r="E14" s="4" t="inlineStr">
        <is>
          <t>최근 체감 추세와 중기 추세를 동시에 반영</t>
        </is>
      </c>
    </row>
    <row r="15">
      <c r="A15" s="5" t="inlineStr">
        <is>
          <t>리스크강도</t>
        </is>
      </c>
      <c r="B15" s="5" t="inlineStr">
        <is>
          <t>사업·정책 리스크</t>
        </is>
      </c>
      <c r="C15" s="5" t="inlineStr">
        <is>
          <t>리스크 매트릭스</t>
        </is>
      </c>
      <c r="D15" s="5" t="inlineStr">
        <is>
          <t>평균(영향×확률) / 45</t>
        </is>
      </c>
      <c r="E15" s="5" t="inlineStr">
        <is>
          <t>고위험 단지는 시나리오 대역폭 확대</t>
        </is>
      </c>
    </row>
    <row r="16">
      <c r="A16" s="4" t="inlineStr">
        <is>
          <t>데이터불확실성</t>
        </is>
      </c>
      <c r="B16" s="4" t="inlineStr">
        <is>
          <t>표본 신뢰도</t>
        </is>
      </c>
      <c r="C16" s="4" t="inlineStr">
        <is>
          <t>MCP confidence/trade_n/area_mode</t>
        </is>
      </c>
      <c r="D16" s="4" t="inlineStr">
        <is>
          <t>신뢰도 패널티 + 표본 패널티 + fallback 패널티</t>
        </is>
      </c>
      <c r="E16" s="4" t="inlineStr">
        <is>
          <t>표본 부족 단지는 보수적 변동폭 적용</t>
        </is>
      </c>
    </row>
    <row r="17">
      <c r="A17" s="5" t="inlineStr">
        <is>
          <t>가격밴드</t>
        </is>
      </c>
      <c r="B17" s="5" t="inlineStr">
        <is>
          <t>상하방 가격폭</t>
        </is>
      </c>
      <c r="C17" s="5" t="inlineStr">
        <is>
          <t>리스크/불확실성/기간</t>
        </is>
      </c>
      <c r="D17" s="5" t="inlineStr">
        <is>
          <t>0.08 + 0.08*risk + 0.04*uncertainty</t>
        </is>
      </c>
      <c r="E17" s="5" t="inlineStr">
        <is>
          <t>밴드가 클수록 Bull/Bear 차이 확대</t>
        </is>
      </c>
    </row>
    <row r="18">
      <c r="A18" s="4" t="inlineStr">
        <is>
          <t>분담금밴드</t>
        </is>
      </c>
      <c r="B18" s="4" t="inlineStr">
        <is>
          <t>공사비/분담금 변동폭</t>
        </is>
      </c>
      <c r="C18" s="4" t="inlineStr">
        <is>
          <t>리스크/불확실성/진행률</t>
        </is>
      </c>
      <c r="D18" s="4" t="inlineStr">
        <is>
          <t>0.07 + 0.09*risk + 0.05*uncertainty</t>
        </is>
      </c>
      <c r="E18" s="4" t="inlineStr">
        <is>
          <t>초기 단계일수록 분담금 상방 리스크 확대</t>
        </is>
      </c>
    </row>
    <row r="19">
      <c r="A19" s="5" t="inlineStr">
        <is>
          <t>기간밴드</t>
        </is>
      </c>
      <c r="B19" s="5" t="inlineStr">
        <is>
          <t>이주/사업 지연폭</t>
        </is>
      </c>
      <c r="C19" s="5" t="inlineStr">
        <is>
          <t>리스크/불확실성/벤치마크IQR</t>
        </is>
      </c>
      <c r="D19" s="5" t="inlineStr">
        <is>
          <t>0.07 + 0.08*risk + 0.05*unc + 0.25*dispersion</t>
        </is>
      </c>
      <c r="E19" s="5" t="inlineStr">
        <is>
          <t>벤치마크 지연 분산을 현실적으로 반영</t>
        </is>
      </c>
    </row>
    <row r="21">
      <c r="A21" s="2" t="inlineStr">
        <is>
          <t>[3] 시나리오 매핑 파라미터</t>
        </is>
      </c>
    </row>
    <row r="22" ht="28" customHeight="1">
      <c r="A22" s="3" t="inlineStr">
        <is>
          <t>시나리오</t>
        </is>
      </c>
      <c r="B22" s="3" t="inlineStr">
        <is>
          <t>가격분위수</t>
        </is>
      </c>
      <c r="C22" s="3" t="inlineStr">
        <is>
          <t>비용·기간분위수</t>
        </is>
      </c>
      <c r="D22" s="3" t="inlineStr">
        <is>
          <t>가중확률</t>
        </is>
      </c>
      <c r="E22" s="3" t="inlineStr">
        <is>
          <t>가격레짐</t>
        </is>
      </c>
      <c r="F22" s="3" t="inlineStr">
        <is>
          <t>분담금레짐</t>
        </is>
      </c>
      <c r="G22" s="3" t="inlineStr">
        <is>
          <t>지연레짐</t>
        </is>
      </c>
      <c r="H22" s="3" t="inlineStr">
        <is>
          <t>프로필 민감도(가격/비용/지연)</t>
        </is>
      </c>
      <c r="I22" s="3" t="inlineStr">
        <is>
          <t>설명</t>
        </is>
      </c>
    </row>
    <row r="23">
      <c r="A23" s="4" t="inlineStr">
        <is>
          <t>낙관 (Bull / P90)</t>
        </is>
      </c>
      <c r="B23" s="4" t="inlineStr">
        <is>
          <t>P90</t>
        </is>
      </c>
      <c r="C23" s="4" t="inlineStr">
        <is>
          <t>P25</t>
        </is>
      </c>
      <c r="D23" s="4" t="inlineStr">
        <is>
          <t>20%</t>
        </is>
      </c>
      <c r="E23" s="4" t="inlineStr">
        <is>
          <t>+0.03</t>
        </is>
      </c>
      <c r="F23" s="4" t="inlineStr">
        <is>
          <t>+0.03</t>
        </is>
      </c>
      <c r="G23" s="4" t="inlineStr">
        <is>
          <t>+0.03</t>
        </is>
      </c>
      <c r="H23" s="4" t="inlineStr">
        <is>
          <t>1.00/1.00/1.00</t>
        </is>
      </c>
      <c r="I23" s="4" t="inlineStr">
        <is>
          <t>가격 P90 · 비용/기간 P25, 금리완화·정책완화 레짐</t>
        </is>
      </c>
    </row>
    <row r="24">
      <c r="A24" s="5" t="inlineStr">
        <is>
          <t>중립 (Base / P50)</t>
        </is>
      </c>
      <c r="B24" s="5" t="inlineStr">
        <is>
          <t>P50</t>
        </is>
      </c>
      <c r="C24" s="5" t="inlineStr">
        <is>
          <t>P50</t>
        </is>
      </c>
      <c r="D24" s="5" t="inlineStr">
        <is>
          <t>50%</t>
        </is>
      </c>
      <c r="E24" s="5" t="inlineStr">
        <is>
          <t>+0.00</t>
        </is>
      </c>
      <c r="F24" s="5" t="inlineStr">
        <is>
          <t>+0.00</t>
        </is>
      </c>
      <c r="G24" s="5" t="inlineStr">
        <is>
          <t>+0.00</t>
        </is>
      </c>
      <c r="H24" s="5" t="inlineStr">
        <is>
          <t>1.00/1.00/1.00</t>
        </is>
      </c>
      <c r="I24" s="5" t="inlineStr">
        <is>
          <t>가격/비용/기간 P50, 현재 규제·금리 레짐 유지</t>
        </is>
      </c>
    </row>
    <row r="25">
      <c r="A25" s="4" t="inlineStr">
        <is>
          <t>비관 (Bear / P10)</t>
        </is>
      </c>
      <c r="B25" s="4" t="inlineStr">
        <is>
          <t>P10</t>
        </is>
      </c>
      <c r="C25" s="4" t="inlineStr">
        <is>
          <t>P90</t>
        </is>
      </c>
      <c r="D25" s="4" t="inlineStr">
        <is>
          <t>30%</t>
        </is>
      </c>
      <c r="E25" s="4" t="inlineStr">
        <is>
          <t>+0.04</t>
        </is>
      </c>
      <c r="F25" s="4" t="inlineStr">
        <is>
          <t>+0.05</t>
        </is>
      </c>
      <c r="G25" s="4" t="inlineStr">
        <is>
          <t>+0.06</t>
        </is>
      </c>
      <c r="H25" s="4" t="inlineStr">
        <is>
          <t>1.00/1.00/1.00</t>
        </is>
      </c>
      <c r="I25" s="4" t="inlineStr">
        <is>
          <t>가격 P10 · 비용/기간 P90, 금리상승·규제강화 레짐</t>
        </is>
      </c>
    </row>
    <row r="27">
      <c r="A27" s="2" t="inlineStr">
        <is>
          <t>[4] 벤치마크 캘리브레이션(소요기간)</t>
        </is>
      </c>
    </row>
    <row r="28" ht="28" customHeight="1">
      <c r="A28" s="3" t="inlineStr">
        <is>
          <t>표본수</t>
        </is>
      </c>
      <c r="B28" s="3" t="inlineStr">
        <is>
          <t>Q25</t>
        </is>
      </c>
      <c r="C28" s="3" t="inlineStr">
        <is>
          <t>중앙값</t>
        </is>
      </c>
      <c r="D28" s="3" t="inlineStr">
        <is>
          <t>Q75</t>
        </is>
      </c>
      <c r="E28" s="3" t="inlineStr">
        <is>
          <t>IQR</t>
        </is>
      </c>
      <c r="F28" s="3" t="inlineStr">
        <is>
          <t>IQR/중앙값</t>
        </is>
      </c>
      <c r="G28" s="3" t="inlineStr"/>
      <c r="H28" s="3" t="inlineStr"/>
      <c r="I28" s="3" t="inlineStr"/>
      <c r="J28" s="3" t="inlineStr"/>
    </row>
    <row r="29">
      <c r="A29" s="4" t="n">
        <v>5</v>
      </c>
      <c r="B29" s="4" t="n">
        <v>13</v>
      </c>
      <c r="C29" s="4" t="n">
        <v>14</v>
      </c>
      <c r="D29" s="4" t="n">
        <v>15</v>
      </c>
      <c r="E29" s="4" t="n">
        <v>2</v>
      </c>
      <c r="F29" s="4" t="n">
        <v>0.143</v>
      </c>
      <c r="G29" s="4" t="inlineStr"/>
      <c r="H29" s="4" t="inlineStr"/>
      <c r="I29" s="4" t="inlineStr"/>
      <c r="J29" s="4" t="inlineStr">
        <is>
          <t>벤치마크 기간 분산이 클수록 지연 시나리오 대역폭을 넓힘</t>
        </is>
      </c>
    </row>
    <row r="31">
      <c r="A31" s="2" t="inlineStr">
        <is>
          <t>[5] 단지별 캘리브레이션 로그</t>
        </is>
      </c>
    </row>
    <row r="32" ht="28" customHeight="1">
      <c r="A32" s="3" t="inlineStr">
        <is>
          <t>단지</t>
        </is>
      </c>
      <c r="B32" s="3" t="inlineStr">
        <is>
          <t>진행률</t>
        </is>
      </c>
      <c r="C32" s="3" t="inlineStr">
        <is>
          <t>리스크강도</t>
        </is>
      </c>
      <c r="D32" s="3" t="inlineStr">
        <is>
          <t>데이터불확실성</t>
        </is>
      </c>
      <c r="E32" s="3" t="inlineStr">
        <is>
          <t>모멘텀</t>
        </is>
      </c>
      <c r="F32" s="3" t="inlineStr">
        <is>
          <t>가격밴드</t>
        </is>
      </c>
      <c r="G32" s="3" t="inlineStr">
        <is>
          <t>분담금밴드</t>
        </is>
      </c>
      <c r="H32" s="3" t="inlineStr">
        <is>
          <t>기간밴드</t>
        </is>
      </c>
      <c r="I32" s="3" t="inlineStr">
        <is>
          <t>기준값(신축/분담/년)</t>
        </is>
      </c>
      <c r="J32" s="3" t="inlineStr">
        <is>
          <t>비고</t>
        </is>
      </c>
    </row>
    <row r="33">
      <c r="A33" s="4" t="inlineStr">
        <is>
          <t>잠실주공5단지</t>
        </is>
      </c>
      <c r="B33" s="4" t="inlineStr">
        <is>
          <t>65%</t>
        </is>
      </c>
      <c r="C33" s="4" t="n">
        <v>43</v>
      </c>
      <c r="D33" s="4" t="n">
        <v>0</v>
      </c>
      <c r="E33" s="4" t="n">
        <v>0.09420000000000001</v>
      </c>
      <c r="F33" s="4" t="n">
        <v>0.1564</v>
      </c>
      <c r="G33" s="4" t="n">
        <v>0.156</v>
      </c>
      <c r="H33" s="4" t="n">
        <v>0.1822</v>
      </c>
      <c r="I33" s="4" t="inlineStr">
        <is>
          <t>46.3/3.5/4.5</t>
        </is>
      </c>
      <c r="J33" s="4" t="inlineStr">
        <is>
          <t>MCP high, trade_n=146</t>
        </is>
      </c>
    </row>
    <row r="34">
      <c r="A34" s="5" t="inlineStr">
        <is>
          <t>장미1·2차</t>
        </is>
      </c>
      <c r="B34" s="5" t="inlineStr">
        <is>
          <t>45%</t>
        </is>
      </c>
      <c r="C34" s="5" t="n">
        <v>36.6</v>
      </c>
      <c r="D34" s="5" t="n">
        <v>0.2</v>
      </c>
      <c r="E34" s="5" t="n">
        <v>0.15</v>
      </c>
      <c r="F34" s="5" t="n">
        <v>0.1531</v>
      </c>
      <c r="G34" s="5" t="n">
        <v>0.1532</v>
      </c>
      <c r="H34" s="5" t="n">
        <v>0.1808</v>
      </c>
      <c r="I34" s="5" t="inlineStr">
        <is>
          <t>40.7/2.7/4.0</t>
        </is>
      </c>
      <c r="J34" s="5" t="inlineStr">
        <is>
          <t>MCP high, trade_n=37</t>
        </is>
      </c>
    </row>
    <row r="35">
      <c r="A35" s="4" t="inlineStr">
        <is>
          <t>장미3차</t>
        </is>
      </c>
      <c r="B35" s="4" t="inlineStr">
        <is>
          <t>40%</t>
        </is>
      </c>
      <c r="C35" s="4" t="n">
        <v>40.07</v>
      </c>
      <c r="D35" s="4" t="n">
        <v>1.6</v>
      </c>
      <c r="E35" s="4" t="n">
        <v>0.15</v>
      </c>
      <c r="F35" s="4" t="n">
        <v>0.2152</v>
      </c>
      <c r="G35" s="4" t="n">
        <v>0.2301</v>
      </c>
      <c r="H35" s="4" t="n">
        <v>0.257</v>
      </c>
      <c r="I35" s="4" t="inlineStr">
        <is>
          <t>38.5/2.7/4.0</t>
        </is>
      </c>
      <c r="J35" s="4" t="inlineStr">
        <is>
          <t>MCP low, trade_n=0</t>
        </is>
      </c>
    </row>
    <row r="36">
      <c r="A36" s="5" t="inlineStr">
        <is>
          <t>우성1·2·3차</t>
        </is>
      </c>
      <c r="B36" s="5" t="inlineStr">
        <is>
          <t>55%</t>
        </is>
      </c>
      <c r="C36" s="5" t="n">
        <v>33.6</v>
      </c>
      <c r="D36" s="5" t="n">
        <v>0.55</v>
      </c>
      <c r="E36" s="5" t="n">
        <v>0.15</v>
      </c>
      <c r="F36" s="5" t="n">
        <v>0.1617</v>
      </c>
      <c r="G36" s="5" t="n">
        <v>0.1647</v>
      </c>
      <c r="H36" s="5" t="n">
        <v>0.193</v>
      </c>
      <c r="I36" s="5" t="inlineStr">
        <is>
          <t>41.5/2.7/4.0</t>
        </is>
      </c>
      <c r="J36" s="5" t="inlineStr">
        <is>
          <t>MCP medium, trade_n=15</t>
        </is>
      </c>
    </row>
    <row r="37">
      <c r="A37" s="4" t="inlineStr">
        <is>
          <t>우성4차</t>
        </is>
      </c>
      <c r="B37" s="4" t="inlineStr">
        <is>
          <t>70%</t>
        </is>
      </c>
      <c r="C37" s="4" t="n">
        <v>24.47</v>
      </c>
      <c r="D37" s="4" t="n">
        <v>1.15</v>
      </c>
      <c r="E37" s="4" t="n">
        <v>0.15</v>
      </c>
      <c r="F37" s="4" t="n">
        <v>0.1695</v>
      </c>
      <c r="G37" s="4" t="n">
        <v>0.1764</v>
      </c>
      <c r="H37" s="4" t="n">
        <v>0.2068</v>
      </c>
      <c r="I37" s="4" t="inlineStr">
        <is>
          <t>34.5/2.0/3.0</t>
        </is>
      </c>
      <c r="J37" s="4" t="inlineStr">
        <is>
          <t>MCP low, trade_n=6</t>
        </is>
      </c>
    </row>
    <row r="38">
      <c r="A38" s="5" t="inlineStr">
        <is>
          <t>아시아선수촌</t>
        </is>
      </c>
      <c r="B38" s="5" t="inlineStr">
        <is>
          <t>25%</t>
        </is>
      </c>
      <c r="C38" s="5" t="n">
        <v>43.73</v>
      </c>
      <c r="D38" s="5" t="n">
        <v>1.6</v>
      </c>
      <c r="E38" s="5" t="n">
        <v>0.15</v>
      </c>
      <c r="F38" s="5" t="n">
        <v>0.2217</v>
      </c>
      <c r="G38" s="5" t="n">
        <v>0.2375</v>
      </c>
      <c r="H38" s="5" t="n">
        <v>0.2635</v>
      </c>
      <c r="I38" s="5" t="inlineStr">
        <is>
          <t>43.4/3.54/5.5</t>
        </is>
      </c>
      <c r="J38" s="5" t="inlineStr">
        <is>
          <t>MCP low, trade_n=4</t>
        </is>
      </c>
    </row>
    <row r="39">
      <c r="A39" s="4" t="inlineStr">
        <is>
          <t>올림픽선수촌</t>
        </is>
      </c>
      <c r="B39" s="4" t="inlineStr">
        <is>
          <t>20%</t>
        </is>
      </c>
      <c r="C39" s="4" t="n">
        <v>42.07</v>
      </c>
      <c r="D39" s="4" t="n">
        <v>0</v>
      </c>
      <c r="E39" s="4" t="n">
        <v>0.1367</v>
      </c>
      <c r="F39" s="4" t="n">
        <v>0.1548</v>
      </c>
      <c r="G39" s="4" t="n">
        <v>0.1541</v>
      </c>
      <c r="H39" s="4" t="n">
        <v>0.1805</v>
      </c>
      <c r="I39" s="4" t="inlineStr">
        <is>
          <t>36.4/1.77/6.0</t>
        </is>
      </c>
      <c r="J39" s="4" t="inlineStr">
        <is>
          <t>MCP high, trade_n=46</t>
        </is>
      </c>
    </row>
    <row r="40">
      <c r="A40" s="5" t="inlineStr">
        <is>
          <t>올림픽훼밀리</t>
        </is>
      </c>
      <c r="B40" s="5" t="inlineStr">
        <is>
          <t>20%</t>
        </is>
      </c>
      <c r="C40" s="5" t="n">
        <v>36.27</v>
      </c>
      <c r="D40" s="5" t="n">
        <v>0</v>
      </c>
      <c r="E40" s="5" t="n">
        <v>0.15</v>
      </c>
      <c r="F40" s="5" t="n">
        <v>0.1445</v>
      </c>
      <c r="G40" s="5" t="n">
        <v>0.1425</v>
      </c>
      <c r="H40" s="5" t="n">
        <v>0.1702</v>
      </c>
      <c r="I40" s="5" t="inlineStr">
        <is>
          <t>33.1/4.25/6.0</t>
        </is>
      </c>
      <c r="J40" s="5" t="inlineStr">
        <is>
          <t>MCP high, trade_n=63</t>
        </is>
      </c>
    </row>
    <row r="42">
      <c r="A42" s="2" t="inlineStr">
        <is>
          <t>[6] 해석 가이드/한계</t>
        </is>
      </c>
    </row>
    <row r="43">
      <c r="A43" s="34" t="inlineStr">
        <is>
          <t>1) Bull/Base/Bear는 임의 숫자가 아니라 분위수(P90/P50/P10)와 레짐 충격값 조합으로 산정됨</t>
        </is>
      </c>
    </row>
    <row r="44">
      <c r="A44" s="34" t="inlineStr">
        <is>
          <t>2) Base는 ROI 시트의 중립값을 앵커로 유지하고, 상·하방 폭만 단지별로 차등 보정함</t>
        </is>
      </c>
    </row>
    <row r="45">
      <c r="A45" s="34" t="inlineStr">
        <is>
          <t>3) 표본이 적거나 fallback 면적을 쓰는 단지는 데이터불확실성을 높여 비용·기간 리스크를 확대함</t>
        </is>
      </c>
    </row>
    <row r="46">
      <c r="A46" s="34" t="inlineStr">
        <is>
          <t>4) 본 모델은 투자결정 보조도구이며, 총회 의결/소송/정책 변경 이벤트는 월별 재산정이 필요함</t>
        </is>
      </c>
    </row>
  </sheetData>
  <mergeCells count="18">
    <mergeCell ref="A44:J44"/>
    <mergeCell ref="A1:J1"/>
    <mergeCell ref="A5:J5"/>
    <mergeCell ref="A45:J45"/>
    <mergeCell ref="A46:J46"/>
    <mergeCell ref="A8:J8"/>
    <mergeCell ref="A31:J31"/>
    <mergeCell ref="A6:J6"/>
    <mergeCell ref="A9:J9"/>
    <mergeCell ref="A27:J27"/>
    <mergeCell ref="A3:J3"/>
    <mergeCell ref="A21:J21"/>
    <mergeCell ref="A12:J12"/>
    <mergeCell ref="A4:J4"/>
    <mergeCell ref="A7:J7"/>
    <mergeCell ref="A43:J43"/>
    <mergeCell ref="A10:J10"/>
    <mergeCell ref="A42:J4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연도별 현금흐름 비교 (주공5 vs 우성4 vs 올림픽선수촌)</t>
        </is>
      </c>
    </row>
    <row r="3">
      <c r="A3" s="2" t="inlineStr">
        <is>
          <t>[A] 잠실주공5단지 (매입가 39.26억)</t>
        </is>
      </c>
    </row>
    <row r="4" ht="28" customHeight="1">
      <c r="A4" s="3" t="inlineStr">
        <is>
          <t>연도</t>
        </is>
      </c>
      <c r="B4" s="3" t="inlineStr">
        <is>
          <t>구분</t>
        </is>
      </c>
      <c r="C4" s="3" t="inlineStr">
        <is>
          <t>지출(억)</t>
        </is>
      </c>
      <c r="D4" s="3" t="inlineStr">
        <is>
          <t>수입(억)</t>
        </is>
      </c>
      <c r="E4" s="3" t="inlineStr">
        <is>
          <t>누적투자(억)</t>
        </is>
      </c>
      <c r="F4" s="3" t="inlineStr">
        <is>
          <t>자산가치(억)</t>
        </is>
      </c>
      <c r="G4" s="3" t="inlineStr">
        <is>
          <t>순자산(억)</t>
        </is>
      </c>
    </row>
    <row r="5">
      <c r="A5" s="5" t="n">
        <v>2026</v>
      </c>
      <c r="B5" s="5" t="inlineStr">
        <is>
          <t>매입+취득세+중개</t>
        </is>
      </c>
      <c r="C5" s="5" t="n">
        <v>-40.6</v>
      </c>
      <c r="D5" s="5" t="n">
        <v>0</v>
      </c>
      <c r="E5" s="5" t="n">
        <v>-40.6</v>
      </c>
      <c r="F5" s="5" t="n">
        <v>39.3</v>
      </c>
      <c r="G5" s="10" t="n">
        <v>-1.3</v>
      </c>
    </row>
    <row r="6">
      <c r="A6" s="5" t="n">
        <v>2027</v>
      </c>
      <c r="B6" s="5" t="inlineStr">
        <is>
          <t>보유비용/분담금</t>
        </is>
      </c>
      <c r="C6" s="5" t="n">
        <v>-1.6</v>
      </c>
      <c r="D6" s="5" t="n">
        <v>0</v>
      </c>
      <c r="E6" s="5" t="n">
        <v>-42.2</v>
      </c>
      <c r="F6" s="5" t="n">
        <v>40.7</v>
      </c>
      <c r="G6" s="10" t="n">
        <v>-1.5</v>
      </c>
    </row>
    <row r="7">
      <c r="A7" s="5" t="n">
        <v>2028</v>
      </c>
      <c r="B7" s="5" t="inlineStr">
        <is>
          <t>보유비용/분담금</t>
        </is>
      </c>
      <c r="C7" s="5" t="n">
        <v>-1.6</v>
      </c>
      <c r="D7" s="5" t="n">
        <v>0</v>
      </c>
      <c r="E7" s="5" t="n">
        <v>-43.8</v>
      </c>
      <c r="F7" s="5" t="n">
        <v>42.1</v>
      </c>
      <c r="G7" s="10" t="n">
        <v>-1.7</v>
      </c>
    </row>
    <row r="8">
      <c r="A8" s="5" t="n">
        <v>2029</v>
      </c>
      <c r="B8" s="5" t="inlineStr">
        <is>
          <t>보유비용/분담금</t>
        </is>
      </c>
      <c r="C8" s="5" t="n">
        <v>-3.4</v>
      </c>
      <c r="D8" s="5" t="n">
        <v>0</v>
      </c>
      <c r="E8" s="5" t="n">
        <v>-47.2</v>
      </c>
      <c r="F8" s="5" t="n">
        <v>43.5</v>
      </c>
      <c r="G8" s="10" t="n">
        <v>-3.7</v>
      </c>
    </row>
    <row r="9">
      <c r="A9" s="5" t="n">
        <v>2030</v>
      </c>
      <c r="B9" s="5" t="inlineStr">
        <is>
          <t>보유비용/분담금</t>
        </is>
      </c>
      <c r="C9" s="5" t="n">
        <v>-1.6</v>
      </c>
      <c r="D9" s="5" t="n">
        <v>0</v>
      </c>
      <c r="E9" s="5" t="n">
        <v>-48.8</v>
      </c>
      <c r="F9" s="5" t="n">
        <v>44.9</v>
      </c>
      <c r="G9" s="10" t="n">
        <v>-3.9</v>
      </c>
    </row>
    <row r="10">
      <c r="A10" s="5" t="n">
        <v>2031</v>
      </c>
      <c r="B10" s="5" t="inlineStr">
        <is>
          <t>준공+신축취득세</t>
        </is>
      </c>
      <c r="C10" s="5" t="n">
        <v>-4.9</v>
      </c>
      <c r="D10" s="5" t="n">
        <v>0</v>
      </c>
      <c r="E10" s="5" t="n">
        <v>-53.7</v>
      </c>
      <c r="F10" s="5" t="n">
        <v>46.3</v>
      </c>
      <c r="G10" s="10" t="n">
        <v>-7.4</v>
      </c>
    </row>
    <row r="13">
      <c r="A13" s="2" t="inlineStr">
        <is>
          <t>[B] 우성4차 (매입가 21.51억)</t>
        </is>
      </c>
    </row>
    <row r="14" ht="28" customHeight="1">
      <c r="A14" s="3" t="inlineStr">
        <is>
          <t>연도</t>
        </is>
      </c>
      <c r="B14" s="3" t="inlineStr">
        <is>
          <t>구분</t>
        </is>
      </c>
      <c r="C14" s="3" t="inlineStr">
        <is>
          <t>지출(억)</t>
        </is>
      </c>
      <c r="D14" s="3" t="inlineStr">
        <is>
          <t>수입(억)</t>
        </is>
      </c>
      <c r="E14" s="3" t="inlineStr">
        <is>
          <t>누적투자(억)</t>
        </is>
      </c>
      <c r="F14" s="3" t="inlineStr">
        <is>
          <t>자산가치(억)</t>
        </is>
      </c>
      <c r="G14" s="3" t="inlineStr">
        <is>
          <t>순자산(억)</t>
        </is>
      </c>
    </row>
    <row r="15">
      <c r="A15" s="5" t="n">
        <v>2026</v>
      </c>
      <c r="B15" s="5" t="inlineStr">
        <is>
          <t>매입+취득세+중개</t>
        </is>
      </c>
      <c r="C15" s="5" t="n">
        <v>-22.3</v>
      </c>
      <c r="D15" s="5" t="n">
        <v>0</v>
      </c>
      <c r="E15" s="5" t="n">
        <v>-22.3</v>
      </c>
      <c r="F15" s="5" t="n">
        <v>21.5</v>
      </c>
      <c r="G15" s="10" t="n">
        <v>-0.8</v>
      </c>
    </row>
    <row r="16">
      <c r="A16" s="5" t="n">
        <v>2027</v>
      </c>
      <c r="B16" s="5" t="inlineStr">
        <is>
          <t>보유비용/분담금</t>
        </is>
      </c>
      <c r="C16" s="5" t="n">
        <v>-0.9</v>
      </c>
      <c r="D16" s="5" t="n">
        <v>0</v>
      </c>
      <c r="E16" s="5" t="n">
        <v>-23.2</v>
      </c>
      <c r="F16" s="5" t="n">
        <v>25.8</v>
      </c>
      <c r="G16" s="11" t="n">
        <v>2.6</v>
      </c>
    </row>
    <row r="17">
      <c r="A17" s="5" t="n">
        <v>2028</v>
      </c>
      <c r="B17" s="5" t="inlineStr">
        <is>
          <t>보유비용/분담금</t>
        </is>
      </c>
      <c r="C17" s="5" t="n">
        <v>-1.9</v>
      </c>
      <c r="D17" s="5" t="n">
        <v>0</v>
      </c>
      <c r="E17" s="5" t="n">
        <v>-25.1</v>
      </c>
      <c r="F17" s="5" t="n">
        <v>30.2</v>
      </c>
      <c r="G17" s="11" t="n">
        <v>5.1</v>
      </c>
    </row>
    <row r="18">
      <c r="A18" s="5" t="n">
        <v>2029</v>
      </c>
      <c r="B18" s="5" t="inlineStr">
        <is>
          <t>준공+신축취득세</t>
        </is>
      </c>
      <c r="C18" s="5" t="n">
        <v>-2.9</v>
      </c>
      <c r="D18" s="5" t="n">
        <v>0</v>
      </c>
      <c r="E18" s="5" t="n">
        <v>-28</v>
      </c>
      <c r="F18" s="5" t="n">
        <v>34.5</v>
      </c>
      <c r="G18" s="11" t="n">
        <v>6.5</v>
      </c>
    </row>
    <row r="21">
      <c r="A21" s="2" t="inlineStr">
        <is>
          <t>[C] 올림픽선수촌 (매입가 25.2억)</t>
        </is>
      </c>
    </row>
    <row r="22" ht="28" customHeight="1">
      <c r="A22" s="3" t="inlineStr">
        <is>
          <t>연도</t>
        </is>
      </c>
      <c r="B22" s="3" t="inlineStr">
        <is>
          <t>구분</t>
        </is>
      </c>
      <c r="C22" s="3" t="inlineStr">
        <is>
          <t>지출(억)</t>
        </is>
      </c>
      <c r="D22" s="3" t="inlineStr">
        <is>
          <t>수입(억)</t>
        </is>
      </c>
      <c r="E22" s="3" t="inlineStr">
        <is>
          <t>누적투자(억)</t>
        </is>
      </c>
      <c r="F22" s="3" t="inlineStr">
        <is>
          <t>자산가치(억)</t>
        </is>
      </c>
      <c r="G22" s="3" t="inlineStr">
        <is>
          <t>순자산(억)</t>
        </is>
      </c>
    </row>
    <row r="23">
      <c r="A23" s="5" t="n">
        <v>2026</v>
      </c>
      <c r="B23" s="5" t="inlineStr">
        <is>
          <t>매입+취득세+중개</t>
        </is>
      </c>
      <c r="C23" s="5" t="n">
        <v>-26.1</v>
      </c>
      <c r="D23" s="5" t="n">
        <v>0</v>
      </c>
      <c r="E23" s="5" t="n">
        <v>-26.1</v>
      </c>
      <c r="F23" s="5" t="n">
        <v>25.2</v>
      </c>
      <c r="G23" s="10" t="n">
        <v>-0.9</v>
      </c>
    </row>
    <row r="24">
      <c r="A24" s="5" t="n">
        <v>2027</v>
      </c>
      <c r="B24" s="5" t="inlineStr">
        <is>
          <t>보유비용/분담금</t>
        </is>
      </c>
      <c r="C24" s="5" t="n">
        <v>-0.8</v>
      </c>
      <c r="D24" s="5" t="n">
        <v>0</v>
      </c>
      <c r="E24" s="5" t="n">
        <v>-26.9</v>
      </c>
      <c r="F24" s="5" t="n">
        <v>26.6</v>
      </c>
      <c r="G24" s="10" t="n">
        <v>-0.3</v>
      </c>
    </row>
    <row r="25">
      <c r="A25" s="5" t="n">
        <v>2028</v>
      </c>
      <c r="B25" s="5" t="inlineStr">
        <is>
          <t>보유비용/분담금</t>
        </is>
      </c>
      <c r="C25" s="5" t="n">
        <v>-0.8</v>
      </c>
      <c r="D25" s="5" t="n">
        <v>0</v>
      </c>
      <c r="E25" s="5" t="n">
        <v>-27.7</v>
      </c>
      <c r="F25" s="5" t="n">
        <v>28</v>
      </c>
      <c r="G25" s="11" t="n">
        <v>0.3</v>
      </c>
    </row>
    <row r="26">
      <c r="A26" s="5" t="n">
        <v>2029</v>
      </c>
      <c r="B26" s="5" t="inlineStr">
        <is>
          <t>보유비용/분담금</t>
        </is>
      </c>
      <c r="C26" s="5" t="n">
        <v>-0.8</v>
      </c>
      <c r="D26" s="5" t="n">
        <v>0</v>
      </c>
      <c r="E26" s="5" t="n">
        <v>-28.5</v>
      </c>
      <c r="F26" s="5" t="n">
        <v>29.4</v>
      </c>
      <c r="G26" s="11" t="n">
        <v>0.9</v>
      </c>
    </row>
    <row r="27">
      <c r="A27" s="5" t="n">
        <v>2030</v>
      </c>
      <c r="B27" s="5" t="inlineStr">
        <is>
          <t>보유비용/분담금</t>
        </is>
      </c>
      <c r="C27" s="5" t="n">
        <v>-1.7</v>
      </c>
      <c r="D27" s="5" t="n">
        <v>0</v>
      </c>
      <c r="E27" s="5" t="n">
        <v>-30.2</v>
      </c>
      <c r="F27" s="5" t="n">
        <v>30.8</v>
      </c>
      <c r="G27" s="11" t="n">
        <v>0.6</v>
      </c>
    </row>
    <row r="28">
      <c r="A28" s="5" t="n">
        <v>2031</v>
      </c>
      <c r="B28" s="5" t="inlineStr">
        <is>
          <t>보유비용/분담금</t>
        </is>
      </c>
      <c r="C28" s="5" t="n">
        <v>-0.8</v>
      </c>
      <c r="D28" s="5" t="n">
        <v>0</v>
      </c>
      <c r="E28" s="5" t="n">
        <v>-31</v>
      </c>
      <c r="F28" s="5" t="n">
        <v>32.2</v>
      </c>
      <c r="G28" s="11" t="n">
        <v>1.2</v>
      </c>
    </row>
    <row r="29">
      <c r="A29" s="5" t="n">
        <v>2032</v>
      </c>
      <c r="B29" s="5" t="inlineStr">
        <is>
          <t>보유비용/분담금</t>
        </is>
      </c>
      <c r="C29" s="5" t="n">
        <v>-0.8</v>
      </c>
      <c r="D29" s="5" t="n">
        <v>0</v>
      </c>
      <c r="E29" s="5" t="n">
        <v>-31.8</v>
      </c>
      <c r="F29" s="5" t="n">
        <v>33.6</v>
      </c>
      <c r="G29" s="11" t="n">
        <v>1.8</v>
      </c>
    </row>
    <row r="30">
      <c r="A30" s="5" t="n">
        <v>2033</v>
      </c>
      <c r="B30" s="5" t="inlineStr">
        <is>
          <t>보유비용/분담금</t>
        </is>
      </c>
      <c r="C30" s="5" t="n">
        <v>-0.8</v>
      </c>
      <c r="D30" s="5" t="n">
        <v>0</v>
      </c>
      <c r="E30" s="5" t="n">
        <v>-32.6</v>
      </c>
      <c r="F30" s="5" t="n">
        <v>35</v>
      </c>
      <c r="G30" s="11" t="n">
        <v>2.4</v>
      </c>
    </row>
    <row r="31">
      <c r="A31" s="5" t="n">
        <v>2034</v>
      </c>
      <c r="B31" s="5" t="inlineStr">
        <is>
          <t>준공+신축취득세</t>
        </is>
      </c>
      <c r="C31" s="5" t="n">
        <v>-2.9</v>
      </c>
      <c r="D31" s="5" t="n">
        <v>0</v>
      </c>
      <c r="E31" s="5" t="n">
        <v>-35.5</v>
      </c>
      <c r="F31" s="5" t="n">
        <v>36.4</v>
      </c>
      <c r="G31" s="11" t="n">
        <v>0.9</v>
      </c>
    </row>
  </sheetData>
  <mergeCells count="4">
    <mergeCell ref="A13:G13"/>
    <mergeCell ref="A3:G3"/>
    <mergeCell ref="A21:G21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투자자 유형별 세금 시뮬레이션 (전용 84m² / 투자자)</t>
        </is>
      </c>
    </row>
    <row r="3">
      <c r="A3" s="2" t="inlineStr">
        <is>
          <t>[주택수별 세금 요약]</t>
        </is>
      </c>
    </row>
    <row r="4" ht="28" customHeight="1">
      <c r="A4" s="3" t="inlineStr">
        <is>
          <t>구분</t>
        </is>
      </c>
      <c r="B4" s="3" t="inlineStr">
        <is>
          <t>취득세율</t>
        </is>
      </c>
      <c r="C4" s="3" t="inlineStr">
        <is>
          <t>양도세율</t>
        </is>
      </c>
      <c r="D4" s="3" t="inlineStr">
        <is>
          <t>종부세공제</t>
        </is>
      </c>
      <c r="E4" s="3" t="inlineStr">
        <is>
          <t>장기보유공제</t>
        </is>
      </c>
      <c r="F4" s="3" t="inlineStr">
        <is>
          <t>비과세조건</t>
        </is>
      </c>
    </row>
    <row r="5">
      <c r="A5" s="4" t="inlineStr">
        <is>
          <t>실거주 1주택자 (비과세 가능)</t>
        </is>
      </c>
      <c r="B5" s="4" t="inlineStr">
        <is>
          <t>3.0%</t>
        </is>
      </c>
      <c r="C5" s="4" t="inlineStr">
        <is>
          <t>0</t>
        </is>
      </c>
      <c r="D5" s="4" t="inlineStr">
        <is>
          <t>12.0억</t>
        </is>
      </c>
      <c r="E5" s="4" t="inlineStr">
        <is>
          <t>최대80%</t>
        </is>
      </c>
      <c r="F5" s="4" t="inlineStr">
        <is>
          <t>2년이상보유+실거주</t>
        </is>
      </c>
    </row>
    <row r="6">
      <c r="A6" s="5" t="inlineStr">
        <is>
          <t>비거주 1주택자</t>
        </is>
      </c>
      <c r="B6" s="5" t="inlineStr">
        <is>
          <t>3.0%</t>
        </is>
      </c>
      <c r="C6" s="5" t="inlineStr">
        <is>
          <t>6~45%</t>
        </is>
      </c>
      <c r="D6" s="5" t="inlineStr">
        <is>
          <t>12.0억</t>
        </is>
      </c>
      <c r="E6" s="5" t="inlineStr">
        <is>
          <t>최대30%</t>
        </is>
      </c>
      <c r="F6" s="5" t="inlineStr">
        <is>
          <t>불가</t>
        </is>
      </c>
    </row>
    <row r="7">
      <c r="A7" s="4" t="inlineStr">
        <is>
          <t>조정대상지역 2주택자</t>
        </is>
      </c>
      <c r="B7" s="4" t="inlineStr">
        <is>
          <t>8.0%</t>
        </is>
      </c>
      <c r="C7" s="4" t="inlineStr">
        <is>
          <t>기본+20%p</t>
        </is>
      </c>
      <c r="D7" s="4" t="inlineStr">
        <is>
          <t>9.0억</t>
        </is>
      </c>
      <c r="E7" s="4" t="inlineStr">
        <is>
          <t>미적용</t>
        </is>
      </c>
      <c r="F7" s="4" t="inlineStr">
        <is>
          <t>일시적2주택만</t>
        </is>
      </c>
    </row>
    <row r="8">
      <c r="A8" s="5" t="inlineStr">
        <is>
          <t>3주택 이상 다주택자</t>
        </is>
      </c>
      <c r="B8" s="5" t="inlineStr">
        <is>
          <t>12.0%</t>
        </is>
      </c>
      <c r="C8" s="5" t="inlineStr">
        <is>
          <t>기본+30%p</t>
        </is>
      </c>
      <c r="D8" s="5" t="inlineStr">
        <is>
          <t>9.0억</t>
        </is>
      </c>
      <c r="E8" s="5" t="inlineStr">
        <is>
          <t>미적용</t>
        </is>
      </c>
      <c r="F8" s="5" t="inlineStr">
        <is>
          <t>불가</t>
        </is>
      </c>
    </row>
    <row r="9">
      <c r="A9" s="4" t="inlineStr">
        <is>
          <t>법인 매수</t>
        </is>
      </c>
      <c r="B9" s="4" t="inlineStr">
        <is>
          <t>12.0%</t>
        </is>
      </c>
      <c r="C9" s="4" t="inlineStr">
        <is>
          <t>법인세+추가20%</t>
        </is>
      </c>
      <c r="D9" s="4" t="inlineStr">
        <is>
          <t>0억</t>
        </is>
      </c>
      <c r="E9" s="4" t="inlineStr">
        <is>
          <t>미적용</t>
        </is>
      </c>
      <c r="F9" s="4" t="inlineStr">
        <is>
          <t>불가</t>
        </is>
      </c>
    </row>
    <row r="12">
      <c r="A12" s="2" t="inlineStr">
        <is>
          <t>[단지별 세금 추정]</t>
        </is>
      </c>
    </row>
    <row r="13" ht="28" customHeight="1">
      <c r="A13" s="3" t="inlineStr">
        <is>
          <t>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매입가</t>
        </is>
      </c>
      <c r="B14" s="4" t="n">
        <v>39.26</v>
      </c>
      <c r="C14" s="4" t="n">
        <v>26.75</v>
      </c>
      <c r="D14" s="4" t="n">
        <v>25</v>
      </c>
      <c r="E14" s="4" t="n">
        <v>27.15</v>
      </c>
      <c r="F14" s="4" t="n">
        <v>21.51</v>
      </c>
      <c r="G14" s="4" t="n">
        <v>29.78</v>
      </c>
      <c r="H14" s="4" t="n">
        <v>25.2</v>
      </c>
      <c r="I14" s="4" t="n">
        <v>21.5</v>
      </c>
    </row>
    <row r="15">
      <c r="A15" s="5" t="inlineStr">
        <is>
          <t>예상신축가</t>
        </is>
      </c>
      <c r="B15" s="5" t="n">
        <v>46.3</v>
      </c>
      <c r="C15" s="5" t="n">
        <v>40.7</v>
      </c>
      <c r="D15" s="5" t="n">
        <v>38.5</v>
      </c>
      <c r="E15" s="5" t="n">
        <v>41.5</v>
      </c>
      <c r="F15" s="5" t="n">
        <v>34.5</v>
      </c>
      <c r="G15" s="5" t="n">
        <v>43.4</v>
      </c>
      <c r="H15" s="5" t="n">
        <v>36.4</v>
      </c>
      <c r="I15" s="5" t="n">
        <v>33.1</v>
      </c>
    </row>
    <row r="16">
      <c r="A16" s="4" t="inlineStr">
        <is>
          <t>양도차익</t>
        </is>
      </c>
      <c r="B16" s="4" t="n">
        <v>7</v>
      </c>
      <c r="C16" s="4" t="n">
        <v>14</v>
      </c>
      <c r="D16" s="4" t="n">
        <v>13.5</v>
      </c>
      <c r="E16" s="4" t="n">
        <v>14.4</v>
      </c>
      <c r="F16" s="4" t="n">
        <v>13</v>
      </c>
      <c r="G16" s="4" t="n">
        <v>13.6</v>
      </c>
      <c r="H16" s="4" t="n">
        <v>11.2</v>
      </c>
      <c r="I16" s="4" t="n">
        <v>11.6</v>
      </c>
    </row>
    <row r="17">
      <c r="A17" s="5" t="inlineStr">
        <is>
          <t>취득세(1주택)</t>
        </is>
      </c>
      <c r="B17" s="5" t="n">
        <v>1.18</v>
      </c>
      <c r="C17" s="5" t="n">
        <v>0.8</v>
      </c>
      <c r="D17" s="5" t="n">
        <v>0.75</v>
      </c>
      <c r="E17" s="5" t="n">
        <v>0.8100000000000001</v>
      </c>
      <c r="F17" s="5" t="n">
        <v>0.65</v>
      </c>
      <c r="G17" s="5" t="n">
        <v>0.89</v>
      </c>
      <c r="H17" s="5" t="n">
        <v>0.76</v>
      </c>
      <c r="I17" s="5" t="n">
        <v>0.65</v>
      </c>
    </row>
    <row r="18">
      <c r="A18" s="4" t="inlineStr">
        <is>
          <t>취득세(2주택)</t>
        </is>
      </c>
      <c r="B18" s="4" t="n">
        <v>3.14</v>
      </c>
      <c r="C18" s="4" t="n">
        <v>2.14</v>
      </c>
      <c r="D18" s="4" t="n">
        <v>2</v>
      </c>
      <c r="E18" s="4" t="n">
        <v>2.17</v>
      </c>
      <c r="F18" s="4" t="n">
        <v>1.72</v>
      </c>
      <c r="G18" s="4" t="n">
        <v>2.38</v>
      </c>
      <c r="H18" s="4" t="n">
        <v>2.02</v>
      </c>
      <c r="I18" s="4" t="n">
        <v>1.72</v>
      </c>
    </row>
    <row r="19">
      <c r="A19" s="5" t="inlineStr">
        <is>
          <t>양도세(비과세)</t>
        </is>
      </c>
      <c r="B19" s="5" t="n">
        <v>0.4</v>
      </c>
      <c r="C19" s="24" t="n">
        <v>0.8</v>
      </c>
      <c r="D19" s="24" t="n">
        <v>0.8</v>
      </c>
      <c r="E19" s="24" t="n">
        <v>0.9</v>
      </c>
      <c r="F19" s="24" t="n">
        <v>0.8</v>
      </c>
      <c r="G19" s="24" t="n">
        <v>0.8</v>
      </c>
      <c r="H19" s="5" t="n">
        <v>0.7</v>
      </c>
      <c r="I19" s="5" t="n">
        <v>0.7</v>
      </c>
    </row>
    <row r="20">
      <c r="A20" s="4" t="inlineStr">
        <is>
          <t>양도세(일반)</t>
        </is>
      </c>
      <c r="B20" s="4" t="n">
        <v>2.7</v>
      </c>
      <c r="C20" s="24" t="n">
        <v>5.3</v>
      </c>
      <c r="D20" s="24" t="n">
        <v>5.1</v>
      </c>
      <c r="E20" s="24" t="n">
        <v>5.5</v>
      </c>
      <c r="F20" s="24" t="n">
        <v>4.9</v>
      </c>
      <c r="G20" s="24" t="n">
        <v>5.2</v>
      </c>
      <c r="H20" s="4" t="n">
        <v>4.3</v>
      </c>
      <c r="I20" s="24" t="n">
        <v>4.4</v>
      </c>
    </row>
    <row r="21">
      <c r="A21" s="5" t="inlineStr">
        <is>
          <t>양도세(중과)</t>
        </is>
      </c>
      <c r="B21" s="5" t="n">
        <v>4.1</v>
      </c>
      <c r="C21" s="24" t="n">
        <v>8.1</v>
      </c>
      <c r="D21" s="24" t="n">
        <v>7.8</v>
      </c>
      <c r="E21" s="24" t="n">
        <v>8.300000000000001</v>
      </c>
      <c r="F21" s="24" t="n">
        <v>7.5</v>
      </c>
      <c r="G21" s="24" t="n">
        <v>7.9</v>
      </c>
      <c r="H21" s="5" t="n">
        <v>6.5</v>
      </c>
      <c r="I21" s="24" t="n">
        <v>6.7</v>
      </c>
    </row>
    <row r="22">
      <c r="A22" s="4" t="inlineStr">
        <is>
          <t>종부세(1주택/연)</t>
        </is>
      </c>
      <c r="B22" s="4" t="n">
        <v>0.31</v>
      </c>
      <c r="C22" s="4" t="n">
        <v>0.21</v>
      </c>
      <c r="D22" s="4" t="n">
        <v>0.2</v>
      </c>
      <c r="E22" s="4" t="n">
        <v>0.22</v>
      </c>
      <c r="F22" s="4" t="n">
        <v>0.17</v>
      </c>
      <c r="G22" s="4" t="n">
        <v>0.24</v>
      </c>
      <c r="H22" s="4" t="n">
        <v>0.2</v>
      </c>
      <c r="I22" s="4" t="n">
        <v>0.17</v>
      </c>
    </row>
    <row r="23">
      <c r="A23" s="5" t="inlineStr">
        <is>
          <t>종부세(다주택/연)</t>
        </is>
      </c>
      <c r="B23" s="5" t="n">
        <v>0.79</v>
      </c>
      <c r="C23" s="5" t="n">
        <v>0.54</v>
      </c>
      <c r="D23" s="5" t="n">
        <v>0.5</v>
      </c>
      <c r="E23" s="5" t="n">
        <v>0.54</v>
      </c>
      <c r="F23" s="5" t="n">
        <v>0.43</v>
      </c>
      <c r="G23" s="5" t="n">
        <v>0.6</v>
      </c>
      <c r="H23" s="5" t="n">
        <v>0.5</v>
      </c>
      <c r="I23" s="5" t="n">
        <v>0.43</v>
      </c>
    </row>
    <row r="24">
      <c r="A24" s="4" t="inlineStr">
        <is>
          <t>신축취득세</t>
        </is>
      </c>
      <c r="B24" s="4" t="n">
        <v>1.37</v>
      </c>
      <c r="C24" s="4" t="n">
        <v>1.2</v>
      </c>
      <c r="D24" s="4" t="n">
        <v>1.14</v>
      </c>
      <c r="E24" s="4" t="n">
        <v>1.23</v>
      </c>
      <c r="F24" s="4" t="n">
        <v>1.02</v>
      </c>
      <c r="G24" s="4" t="n">
        <v>1.28</v>
      </c>
      <c r="H24" s="4" t="n">
        <v>1.08</v>
      </c>
      <c r="I24" s="4" t="n">
        <v>0.98</v>
      </c>
    </row>
    <row r="27">
      <c r="A27" s="2" t="inlineStr">
        <is>
          <t>[세금 절감 전략]</t>
        </is>
      </c>
    </row>
    <row r="28">
      <c r="A28" s="35" t="inlineStr">
        <is>
          <t>1. 실거주 2년 충족 시 양도세 비과세 (12억 초과분만 과세)</t>
        </is>
      </c>
    </row>
    <row r="29">
      <c r="A29" s="35" t="inlineStr">
        <is>
          <t>2. 장기보유특별공제: 10년 보유+거주 시 최대 80% 공제</t>
        </is>
      </c>
    </row>
    <row r="30">
      <c r="A30" s="35" t="inlineStr">
        <is>
          <t>3. 일시적 2주택: 신규취득 후 3년내 종전주택 매도 시 비과세</t>
        </is>
      </c>
    </row>
    <row r="31">
      <c r="A31" s="35" t="inlineStr">
        <is>
          <t>4. 조합원입주권 양도: 관리처분인가 전 매도 시 일반세율</t>
        </is>
      </c>
    </row>
    <row r="32">
      <c r="A32" s="35" t="inlineStr">
        <is>
          <t>5. 재초환 부담금: 준공 시점 시세-정상상승분 초과이익의 최대 50%</t>
        </is>
      </c>
    </row>
  </sheetData>
  <mergeCells count="9">
    <mergeCell ref="A12:K12"/>
    <mergeCell ref="A3:K3"/>
    <mergeCell ref="A30:K30"/>
    <mergeCell ref="A29:K29"/>
    <mergeCell ref="A28:K28"/>
    <mergeCell ref="A32:K32"/>
    <mergeCell ref="A1:K1"/>
    <mergeCell ref="A27:K27"/>
    <mergeCell ref="A31:K3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대출 비율별 레버리지 효과 분석</t>
        </is>
      </c>
    </row>
    <row r="3">
      <c r="A3" s="2" t="inlineStr">
        <is>
          <t>[LTV 50%]</t>
        </is>
      </c>
    </row>
    <row r="4" ht="28" customHeight="1">
      <c r="A4" s="3" t="inlineStr">
        <is>
          <t>항목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</row>
    <row r="5">
      <c r="A5" s="4" t="inlineStr">
        <is>
          <t>자기자본</t>
        </is>
      </c>
      <c r="B5" s="4" t="n">
        <v>19.6</v>
      </c>
      <c r="C5" s="4" t="n">
        <v>13.4</v>
      </c>
      <c r="D5" s="4" t="n">
        <v>12.5</v>
      </c>
      <c r="E5" s="4" t="n">
        <v>13.6</v>
      </c>
      <c r="F5" s="4" t="n">
        <v>10.8</v>
      </c>
      <c r="G5" s="4" t="n">
        <v>14.9</v>
      </c>
      <c r="H5" s="4" t="n">
        <v>12.6</v>
      </c>
      <c r="I5" s="4" t="n">
        <v>10.8</v>
      </c>
    </row>
    <row r="6">
      <c r="A6" s="5" t="inlineStr">
        <is>
          <t>대출금</t>
        </is>
      </c>
      <c r="B6" s="5" t="n">
        <v>19.6</v>
      </c>
      <c r="C6" s="5" t="n">
        <v>13.4</v>
      </c>
      <c r="D6" s="5" t="n">
        <v>12.5</v>
      </c>
      <c r="E6" s="5" t="n">
        <v>13.6</v>
      </c>
      <c r="F6" s="5" t="n">
        <v>10.8</v>
      </c>
      <c r="G6" s="5" t="n">
        <v>14.9</v>
      </c>
      <c r="H6" s="5" t="n">
        <v>12.6</v>
      </c>
      <c r="I6" s="5" t="n">
        <v>10.8</v>
      </c>
    </row>
    <row r="7">
      <c r="A7" s="4" t="inlineStr">
        <is>
          <t>연이자(4%)</t>
        </is>
      </c>
      <c r="B7" s="4" t="n">
        <v>0.8</v>
      </c>
      <c r="C7" s="4" t="n">
        <v>0.55</v>
      </c>
      <c r="D7" s="4" t="n">
        <v>0.51</v>
      </c>
      <c r="E7" s="4" t="n">
        <v>0.5600000000000001</v>
      </c>
      <c r="F7" s="4" t="n">
        <v>0.44</v>
      </c>
      <c r="G7" s="4" t="n">
        <v>0.61</v>
      </c>
      <c r="H7" s="4" t="n">
        <v>0.52</v>
      </c>
      <c r="I7" s="4" t="n">
        <v>0.44</v>
      </c>
    </row>
    <row r="8">
      <c r="A8" s="5" t="inlineStr">
        <is>
          <t>레버리지ROI(%)</t>
        </is>
      </c>
      <c r="B8" s="5" t="n">
        <v>-17.7</v>
      </c>
      <c r="C8" s="5" t="n">
        <v>47.3</v>
      </c>
      <c r="D8" s="5" t="n">
        <v>48.6</v>
      </c>
      <c r="E8" s="5" t="n">
        <v>49.2</v>
      </c>
      <c r="F8" s="11" t="n">
        <v>70.3</v>
      </c>
      <c r="G8" s="5" t="n">
        <v>21.5</v>
      </c>
      <c r="H8" s="5" t="n">
        <v>21.8</v>
      </c>
      <c r="I8" s="5" t="n">
        <v>11.7</v>
      </c>
    </row>
    <row r="10">
      <c r="A10" s="2" t="inlineStr">
        <is>
          <t>[LTV 40%]</t>
        </is>
      </c>
    </row>
    <row r="11" ht="28" customHeight="1">
      <c r="A11" s="3" t="inlineStr">
        <is>
          <t>항목</t>
        </is>
      </c>
      <c r="B11" s="3" t="inlineStr">
        <is>
          <t>주공5</t>
        </is>
      </c>
      <c r="C11" s="3" t="inlineStr">
        <is>
          <t>장미1·2</t>
        </is>
      </c>
      <c r="D11" s="3" t="inlineStr">
        <is>
          <t>장미3</t>
        </is>
      </c>
      <c r="E11" s="3" t="inlineStr">
        <is>
          <t>우성1·2·3</t>
        </is>
      </c>
      <c r="F11" s="3" t="inlineStr">
        <is>
          <t>우성4</t>
        </is>
      </c>
      <c r="G11" s="3" t="inlineStr">
        <is>
          <t>아시아</t>
        </is>
      </c>
      <c r="H11" s="3" t="inlineStr">
        <is>
          <t>선수촌</t>
        </is>
      </c>
      <c r="I11" s="3" t="inlineStr">
        <is>
          <t>훼밀리</t>
        </is>
      </c>
    </row>
    <row r="12">
      <c r="A12" s="4" t="inlineStr">
        <is>
          <t>자기자본</t>
        </is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</row>
    <row r="13">
      <c r="A13" s="5" t="inlineStr">
        <is>
          <t>대출금</t>
        </is>
      </c>
      <c r="B13" s="5" t="n">
        <v>15.7</v>
      </c>
      <c r="C13" s="5" t="n">
        <v>10.7</v>
      </c>
      <c r="D13" s="5" t="n">
        <v>10</v>
      </c>
      <c r="E13" s="5" t="n">
        <v>10.9</v>
      </c>
      <c r="F13" s="5" t="n">
        <v>8.6</v>
      </c>
      <c r="G13" s="5" t="n">
        <v>11.9</v>
      </c>
      <c r="H13" s="5" t="n">
        <v>10.1</v>
      </c>
      <c r="I13" s="5" t="n">
        <v>8.6</v>
      </c>
    </row>
    <row r="14">
      <c r="A14" s="4" t="inlineStr">
        <is>
          <t>연이자(4%)</t>
        </is>
      </c>
      <c r="B14" s="4" t="n">
        <v>0.64</v>
      </c>
      <c r="C14" s="4" t="n">
        <v>0.44</v>
      </c>
      <c r="D14" s="4" t="n">
        <v>0.41</v>
      </c>
      <c r="E14" s="4" t="n">
        <v>0.45</v>
      </c>
      <c r="F14" s="4" t="n">
        <v>0.35</v>
      </c>
      <c r="G14" s="4" t="n">
        <v>0.49</v>
      </c>
      <c r="H14" s="4" t="n">
        <v>0.41</v>
      </c>
      <c r="I14" s="4" t="n">
        <v>0.35</v>
      </c>
    </row>
    <row r="15">
      <c r="A15" s="5" t="inlineStr">
        <is>
          <t>레버리지ROI(%)</t>
        </is>
      </c>
      <c r="B15" s="5" t="n">
        <v>-11.7</v>
      </c>
      <c r="C15" s="5" t="n">
        <v>42.1</v>
      </c>
      <c r="D15" s="11" t="n">
        <v>43.2</v>
      </c>
      <c r="E15" s="11" t="n">
        <v>43.7</v>
      </c>
      <c r="F15" s="11" t="n">
        <v>60.7</v>
      </c>
      <c r="G15" s="5" t="n">
        <v>21.7</v>
      </c>
      <c r="H15" s="5" t="n">
        <v>22.3</v>
      </c>
      <c r="I15" s="5" t="n">
        <v>13.8</v>
      </c>
    </row>
    <row r="17">
      <c r="A17" s="2" t="inlineStr">
        <is>
          <t>[LTV 30%]</t>
        </is>
      </c>
    </row>
    <row r="18" ht="28" customHeight="1">
      <c r="A18" s="3" t="inlineStr">
        <is>
          <t>항목</t>
        </is>
      </c>
      <c r="B18" s="3" t="inlineStr">
        <is>
          <t>주공5</t>
        </is>
      </c>
      <c r="C18" s="3" t="inlineStr">
        <is>
          <t>장미1·2</t>
        </is>
      </c>
      <c r="D18" s="3" t="inlineStr">
        <is>
          <t>장미3</t>
        </is>
      </c>
      <c r="E18" s="3" t="inlineStr">
        <is>
          <t>우성1·2·3</t>
        </is>
      </c>
      <c r="F18" s="3" t="inlineStr">
        <is>
          <t>우성4</t>
        </is>
      </c>
      <c r="G18" s="3" t="inlineStr">
        <is>
          <t>아시아</t>
        </is>
      </c>
      <c r="H18" s="3" t="inlineStr">
        <is>
          <t>선수촌</t>
        </is>
      </c>
      <c r="I18" s="3" t="inlineStr">
        <is>
          <t>훼밀리</t>
        </is>
      </c>
    </row>
    <row r="19">
      <c r="A19" s="4" t="inlineStr">
        <is>
          <t>자기자본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</row>
    <row r="20">
      <c r="A20" s="5" t="inlineStr">
        <is>
          <t>대출금</t>
        </is>
      </c>
      <c r="B20" s="5" t="n">
        <v>11.8</v>
      </c>
      <c r="C20" s="5" t="n">
        <v>8</v>
      </c>
      <c r="D20" s="5" t="n">
        <v>7.5</v>
      </c>
      <c r="E20" s="5" t="n">
        <v>8.1</v>
      </c>
      <c r="F20" s="5" t="n">
        <v>6.5</v>
      </c>
      <c r="G20" s="5" t="n">
        <v>8.9</v>
      </c>
      <c r="H20" s="5" t="n">
        <v>7.6</v>
      </c>
      <c r="I20" s="5" t="n">
        <v>6.5</v>
      </c>
    </row>
    <row r="21">
      <c r="A21" s="4" t="inlineStr">
        <is>
          <t>연이자(4%)</t>
        </is>
      </c>
      <c r="B21" s="4" t="n">
        <v>0.48</v>
      </c>
      <c r="C21" s="4" t="n">
        <v>0.33</v>
      </c>
      <c r="D21" s="4" t="n">
        <v>0.31</v>
      </c>
      <c r="E21" s="4" t="n">
        <v>0.33</v>
      </c>
      <c r="F21" s="4" t="n">
        <v>0.26</v>
      </c>
      <c r="G21" s="4" t="n">
        <v>0.37</v>
      </c>
      <c r="H21" s="4" t="n">
        <v>0.31</v>
      </c>
      <c r="I21" s="4" t="n">
        <v>0.26</v>
      </c>
    </row>
    <row r="22">
      <c r="A22" s="5" t="inlineStr">
        <is>
          <t>레버리지ROI(%)</t>
        </is>
      </c>
      <c r="B22" s="5" t="n">
        <v>-7.4</v>
      </c>
      <c r="C22" s="11" t="n">
        <v>38.4</v>
      </c>
      <c r="D22" s="11" t="n">
        <v>39.4</v>
      </c>
      <c r="E22" s="11" t="n">
        <v>39.8</v>
      </c>
      <c r="F22" s="11" t="n">
        <v>53.8</v>
      </c>
      <c r="G22" s="5" t="n">
        <v>21.8</v>
      </c>
      <c r="H22" s="5" t="n">
        <v>22.6</v>
      </c>
      <c r="I22" s="5" t="n">
        <v>15.4</v>
      </c>
    </row>
    <row r="25">
      <c r="A25" s="15" t="inlineStr">
        <is>
          <t>단지</t>
        </is>
      </c>
      <c r="B25" s="15" t="inlineStr">
        <is>
          <t>주공5</t>
        </is>
      </c>
      <c r="C25" s="15" t="inlineStr">
        <is>
          <t>장미1·2</t>
        </is>
      </c>
      <c r="D25" s="15" t="inlineStr">
        <is>
          <t>장미3</t>
        </is>
      </c>
      <c r="E25" s="15" t="inlineStr">
        <is>
          <t>우성1·2·3</t>
        </is>
      </c>
      <c r="F25" s="15" t="inlineStr">
        <is>
          <t>우성4</t>
        </is>
      </c>
      <c r="G25" s="15" t="inlineStr">
        <is>
          <t>아시아</t>
        </is>
      </c>
      <c r="H25" s="15" t="inlineStr">
        <is>
          <t>선수촌</t>
        </is>
      </c>
      <c r="I25" s="15" t="inlineStr">
        <is>
          <t>훼밀리</t>
        </is>
      </c>
    </row>
    <row r="26">
      <c r="A26" s="29" t="inlineStr">
        <is>
          <t>LTV 50%</t>
        </is>
      </c>
      <c r="B26" t="n">
        <v>-17.7</v>
      </c>
      <c r="C26" t="n">
        <v>47.3</v>
      </c>
      <c r="D26" t="n">
        <v>48.6</v>
      </c>
      <c r="E26" t="n">
        <v>49.2</v>
      </c>
      <c r="F26" t="n">
        <v>70.3</v>
      </c>
      <c r="G26" t="n">
        <v>21.5</v>
      </c>
      <c r="H26" t="n">
        <v>21.8</v>
      </c>
      <c r="I26" t="n">
        <v>11.7</v>
      </c>
    </row>
    <row r="27">
      <c r="A27" s="29" t="inlineStr">
        <is>
          <t>LTV 40%</t>
        </is>
      </c>
      <c r="B27" t="n">
        <v>-11.7</v>
      </c>
      <c r="C27" t="n">
        <v>42.1</v>
      </c>
      <c r="D27" t="n">
        <v>43.2</v>
      </c>
      <c r="E27" t="n">
        <v>43.7</v>
      </c>
      <c r="F27" t="n">
        <v>60.7</v>
      </c>
      <c r="G27" t="n">
        <v>21.7</v>
      </c>
      <c r="H27" t="n">
        <v>22.3</v>
      </c>
      <c r="I27" t="n">
        <v>13.8</v>
      </c>
    </row>
    <row r="28">
      <c r="A28" s="29" t="inlineStr">
        <is>
          <t>LTV 30%</t>
        </is>
      </c>
      <c r="B28" t="n">
        <v>-7.4</v>
      </c>
      <c r="C28" t="n">
        <v>38.4</v>
      </c>
      <c r="D28" t="n">
        <v>39.4</v>
      </c>
      <c r="E28" t="n">
        <v>39.8</v>
      </c>
      <c r="F28" t="n">
        <v>53.8</v>
      </c>
      <c r="G28" t="n">
        <v>21.8</v>
      </c>
      <c r="H28" t="n">
        <v>22.6</v>
      </c>
      <c r="I28" t="n">
        <v>15.4</v>
      </c>
    </row>
  </sheetData>
  <mergeCells count="4">
    <mergeCell ref="A1:I1"/>
    <mergeCell ref="A17:I17"/>
    <mergeCell ref="A3:I3"/>
    <mergeCell ref="A10:I10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</cols>
  <sheetData>
    <row r="1" ht="36" customHeight="1">
      <c r="A1" s="1" t="inlineStr">
        <is>
          <t>잠실/송파/강남권 주요 단지 시세 비교 (전용 84m²)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준공</t>
        </is>
      </c>
      <c r="D3" s="3" t="inlineStr">
        <is>
          <t>세대수</t>
        </is>
      </c>
      <c r="E3" s="3" t="inlineStr">
        <is>
          <t>매매가(억)</t>
        </is>
      </c>
      <c r="F3" s="3" t="inlineStr">
        <is>
          <t>전세가(억)</t>
        </is>
      </c>
      <c r="G3" s="3" t="inlineStr">
        <is>
          <t>비고</t>
        </is>
      </c>
    </row>
    <row r="4">
      <c r="A4" s="4" t="inlineStr">
        <is>
          <t>잠실엘스</t>
        </is>
      </c>
      <c r="B4" s="4" t="inlineStr">
        <is>
          <t>잠실동</t>
        </is>
      </c>
      <c r="C4" s="4" t="n">
        <v>2008</v>
      </c>
      <c r="D4" s="4" t="n">
        <v>5678</v>
      </c>
      <c r="E4" s="4" t="n">
        <v>28</v>
      </c>
      <c r="F4" s="4" t="n">
        <v>10</v>
      </c>
      <c r="G4" s="4" t="inlineStr">
        <is>
          <t>잠실르엘 분양권</t>
        </is>
      </c>
    </row>
    <row r="5">
      <c r="A5" s="5" t="inlineStr">
        <is>
          <t>리센츠</t>
        </is>
      </c>
      <c r="B5" s="5" t="inlineStr">
        <is>
          <t>잠실동</t>
        </is>
      </c>
      <c r="C5" s="5" t="n">
        <v>2008</v>
      </c>
      <c r="D5" s="5" t="n">
        <v>5563</v>
      </c>
      <c r="E5" s="5" t="n">
        <v>27.5</v>
      </c>
      <c r="F5" s="5" t="n">
        <v>9.5</v>
      </c>
      <c r="G5" s="5" t="inlineStr">
        <is>
          <t>잠실역 초역세권</t>
        </is>
      </c>
    </row>
    <row r="6">
      <c r="A6" s="4" t="inlineStr">
        <is>
          <t>트리지움</t>
        </is>
      </c>
      <c r="B6" s="4" t="inlineStr">
        <is>
          <t>잠실동</t>
        </is>
      </c>
      <c r="C6" s="4" t="n">
        <v>2008</v>
      </c>
      <c r="D6" s="4" t="n">
        <v>3696</v>
      </c>
      <c r="E6" s="4" t="n">
        <v>25</v>
      </c>
      <c r="F6" s="4" t="n">
        <v>9</v>
      </c>
      <c r="G6" s="4" t="inlineStr">
        <is>
          <t>잠실나루역</t>
        </is>
      </c>
    </row>
    <row r="7">
      <c r="A7" s="5" t="inlineStr">
        <is>
          <t>파크리오</t>
        </is>
      </c>
      <c r="B7" s="5" t="inlineStr">
        <is>
          <t>잠실동</t>
        </is>
      </c>
      <c r="C7" s="5" t="n">
        <v>2008</v>
      </c>
      <c r="D7" s="5" t="n">
        <v>6864</v>
      </c>
      <c r="E7" s="5" t="n">
        <v>28.5</v>
      </c>
      <c r="F7" s="5" t="n">
        <v>10</v>
      </c>
      <c r="G7" s="5" t="inlineStr">
        <is>
          <t>한강조망+대단지</t>
        </is>
      </c>
    </row>
    <row r="8">
      <c r="A8" s="4" t="inlineStr">
        <is>
          <t>레이크팰리스</t>
        </is>
      </c>
      <c r="B8" s="4" t="inlineStr">
        <is>
          <t>잠실동</t>
        </is>
      </c>
      <c r="C8" s="4" t="n">
        <v>2008</v>
      </c>
      <c r="D8" s="4" t="n">
        <v>2678</v>
      </c>
      <c r="E8" s="4" t="n">
        <v>25.5</v>
      </c>
      <c r="F8" s="4" t="n">
        <v>8.5</v>
      </c>
      <c r="G8" s="4" t="inlineStr">
        <is>
          <t>석촌호수뷰</t>
        </is>
      </c>
    </row>
    <row r="9">
      <c r="A9" s="5" t="inlineStr">
        <is>
          <t>잠실래미안아이파크</t>
        </is>
      </c>
      <c r="B9" s="5" t="inlineStr">
        <is>
          <t>잠실동</t>
        </is>
      </c>
      <c r="C9" s="5" t="n">
        <v>2025</v>
      </c>
      <c r="D9" s="5" t="n">
        <v>2678</v>
      </c>
      <c r="E9" s="5" t="n">
        <v>32</v>
      </c>
      <c r="F9" s="5" t="n">
        <v>14</v>
      </c>
      <c r="G9" s="5" t="inlineStr">
        <is>
          <t>신축(잠실진주재건축)</t>
        </is>
      </c>
    </row>
    <row r="10">
      <c r="A10" s="4" t="inlineStr">
        <is>
          <t>헬리오시티</t>
        </is>
      </c>
      <c r="B10" s="4" t="inlineStr">
        <is>
          <t>송파동</t>
        </is>
      </c>
      <c r="C10" s="4" t="n">
        <v>2018</v>
      </c>
      <c r="D10" s="4" t="n">
        <v>9510</v>
      </c>
      <c r="E10" s="4" t="n">
        <v>24.5</v>
      </c>
      <c r="F10" s="4" t="n">
        <v>9</v>
      </c>
      <c r="G10" s="4" t="inlineStr">
        <is>
          <t>송파 최대단지</t>
        </is>
      </c>
    </row>
    <row r="11">
      <c r="A11" s="5" t="inlineStr">
        <is>
          <t>올림픽파크포레온</t>
        </is>
      </c>
      <c r="B11" s="5" t="inlineStr">
        <is>
          <t>강동구</t>
        </is>
      </c>
      <c r="C11" s="5" t="n">
        <v>2024</v>
      </c>
      <c r="D11" s="5" t="n">
        <v>12032</v>
      </c>
      <c r="E11" s="5" t="n">
        <v>24</v>
      </c>
      <c r="F11" s="5" t="n">
        <v>11</v>
      </c>
      <c r="G11" s="5" t="inlineStr">
        <is>
          <t>둔촌주공재건축</t>
        </is>
      </c>
    </row>
    <row r="12">
      <c r="A12" s="4" t="inlineStr">
        <is>
          <t>래미안원베일리</t>
        </is>
      </c>
      <c r="B12" s="4" t="inlineStr">
        <is>
          <t>서초구</t>
        </is>
      </c>
      <c r="C12" s="4" t="n">
        <v>2023</v>
      </c>
      <c r="D12" s="4" t="n">
        <v>2990</v>
      </c>
      <c r="E12" s="4" t="n">
        <v>42</v>
      </c>
      <c r="F12" s="4" t="n">
        <v>18</v>
      </c>
      <c r="G12" s="4" t="inlineStr">
        <is>
          <t>반포재건축 벤치마크</t>
        </is>
      </c>
    </row>
    <row r="13">
      <c r="A13" s="5" t="inlineStr">
        <is>
          <t>디에이치포레센트</t>
        </is>
      </c>
      <c r="B13" s="5" t="inlineStr">
        <is>
          <t>강남구</t>
        </is>
      </c>
      <c r="C13" s="5" t="n">
        <v>2021</v>
      </c>
      <c r="D13" s="5" t="n">
        <v>6702</v>
      </c>
      <c r="E13" s="5" t="n">
        <v>38</v>
      </c>
      <c r="F13" s="5" t="n">
        <v>16</v>
      </c>
      <c r="G13" s="5" t="inlineStr">
        <is>
          <t>개포재건축 벤치마크</t>
        </is>
      </c>
    </row>
    <row r="15">
      <c r="A15" s="36" t="inlineStr">
        <is>
          <t>── 분석 대상 재건축 단지 ──</t>
        </is>
      </c>
    </row>
    <row r="16" ht="28" customHeight="1">
      <c r="A16" s="3" t="inlineStr">
        <is>
          <t>단지명</t>
        </is>
      </c>
      <c r="B16" s="3" t="inlineStr">
        <is>
          <t>위치</t>
        </is>
      </c>
      <c r="C16" s="3" t="inlineStr">
        <is>
          <t>준공</t>
        </is>
      </c>
      <c r="D16" s="3" t="inlineStr">
        <is>
          <t>세대수</t>
        </is>
      </c>
      <c r="E16" s="3" t="inlineStr">
        <is>
          <t>매매가(억)</t>
        </is>
      </c>
      <c r="F16" s="3" t="inlineStr">
        <is>
          <t>전세가(억)</t>
        </is>
      </c>
      <c r="G16" s="3" t="inlineStr">
        <is>
          <t>비고</t>
        </is>
      </c>
    </row>
    <row r="17">
      <c r="A17" s="4" t="inlineStr">
        <is>
          <t>잠실주공5단지</t>
        </is>
      </c>
      <c r="B17" s="4" t="inlineStr">
        <is>
          <t>잠실동 40</t>
        </is>
      </c>
      <c r="C17" s="4" t="n">
        <v>1978</v>
      </c>
      <c r="D17" s="4" t="n">
        <v>3930</v>
      </c>
      <c r="E17" s="4" t="n">
        <v>39.26</v>
      </c>
      <c r="F17" s="4" t="n">
        <v>4.45</v>
      </c>
      <c r="G17" s="4" t="inlineStr">
        <is>
          <t>재건축 사업시행계획인가 신청</t>
        </is>
      </c>
    </row>
    <row r="18">
      <c r="A18" s="5" t="inlineStr">
        <is>
          <t>장미1·2차</t>
        </is>
      </c>
      <c r="B18" s="5" t="inlineStr">
        <is>
          <t>잠실동 16-5</t>
        </is>
      </c>
      <c r="C18" s="5" t="n">
        <v>1979</v>
      </c>
      <c r="D18" s="5" t="n">
        <v>2262</v>
      </c>
      <c r="E18" s="5" t="n">
        <v>26.75</v>
      </c>
      <c r="F18" s="5" t="n">
        <v>5.88</v>
      </c>
      <c r="G18" s="5" t="inlineStr">
        <is>
          <t>재건축 사업시행인가 진행중</t>
        </is>
      </c>
    </row>
    <row r="19">
      <c r="A19" s="4" t="inlineStr">
        <is>
          <t>장미3차</t>
        </is>
      </c>
      <c r="B19" s="4" t="inlineStr">
        <is>
          <t>잠실동 221</t>
        </is>
      </c>
      <c r="C19" s="4" t="n">
        <v>1983</v>
      </c>
      <c r="D19" s="4" t="n">
        <v>900</v>
      </c>
      <c r="E19" s="4" t="n">
        <v>25</v>
      </c>
      <c r="F19" s="4" t="n">
        <v>8.5</v>
      </c>
      <c r="G19" s="4" t="inlineStr">
        <is>
          <t>재건축 장미통합 사업시행인가 진행중</t>
        </is>
      </c>
    </row>
    <row r="20">
      <c r="A20" s="5" t="inlineStr">
        <is>
          <t>우성1·2·3차</t>
        </is>
      </c>
      <c r="B20" s="5" t="inlineStr">
        <is>
          <t>잠실동 22</t>
        </is>
      </c>
      <c r="C20" s="5" t="n">
        <v>1981</v>
      </c>
      <c r="D20" s="5" t="n">
        <v>1842</v>
      </c>
      <c r="E20" s="5" t="n">
        <v>27.15</v>
      </c>
      <c r="F20" s="5" t="n">
        <v>5.38</v>
      </c>
      <c r="G20" s="5" t="inlineStr">
        <is>
          <t>재건축 사업시행인가 진행중</t>
        </is>
      </c>
    </row>
    <row r="21">
      <c r="A21" s="4" t="inlineStr">
        <is>
          <t>우성4차</t>
        </is>
      </c>
      <c r="B21" s="4" t="inlineStr">
        <is>
          <t>잠실동 19</t>
        </is>
      </c>
      <c r="C21" s="4" t="n">
        <v>1982</v>
      </c>
      <c r="D21" s="4" t="n">
        <v>555</v>
      </c>
      <c r="E21" s="4" t="n">
        <v>21.51</v>
      </c>
      <c r="F21" s="4" t="n">
        <v>6.28</v>
      </c>
      <c r="G21" s="4" t="inlineStr">
        <is>
          <t>재건축 관리처분인가 준비중</t>
        </is>
      </c>
    </row>
    <row r="22">
      <c r="A22" s="5" t="inlineStr">
        <is>
          <t>아시아선수촌</t>
        </is>
      </c>
      <c r="B22" s="5" t="inlineStr">
        <is>
          <t>잠실동</t>
        </is>
      </c>
      <c r="C22" s="5" t="n">
        <v>1986</v>
      </c>
      <c r="D22" s="5" t="n">
        <v>1356</v>
      </c>
      <c r="E22" s="5" t="n">
        <v>29.78</v>
      </c>
      <c r="F22" s="5" t="n">
        <v>7.39</v>
      </c>
      <c r="G22" s="5" t="inlineStr">
        <is>
          <t>재건축 추진위 승인 완료</t>
        </is>
      </c>
    </row>
    <row r="23">
      <c r="A23" s="4" t="inlineStr">
        <is>
          <t>올림픽선수촌</t>
        </is>
      </c>
      <c r="B23" s="4" t="inlineStr">
        <is>
          <t>방이동 89</t>
        </is>
      </c>
      <c r="C23" s="4" t="n">
        <v>1988</v>
      </c>
      <c r="D23" s="4" t="n">
        <v>5540</v>
      </c>
      <c r="E23" s="4" t="n">
        <v>25.2</v>
      </c>
      <c r="F23" s="4" t="n">
        <v>6.83</v>
      </c>
      <c r="G23" s="4" t="inlineStr">
        <is>
          <t>재건축 추진위 승인 완료</t>
        </is>
      </c>
    </row>
    <row r="24">
      <c r="A24" s="5" t="inlineStr">
        <is>
          <t>올림픽훼밀리</t>
        </is>
      </c>
      <c r="B24" s="5" t="inlineStr">
        <is>
          <t>문정동 150</t>
        </is>
      </c>
      <c r="C24" s="5" t="n">
        <v>1988</v>
      </c>
      <c r="D24" s="5" t="n">
        <v>4494</v>
      </c>
      <c r="E24" s="5" t="n">
        <v>21.5</v>
      </c>
      <c r="F24" s="5" t="n">
        <v>6.61</v>
      </c>
      <c r="G24" s="5" t="inlineStr">
        <is>
          <t>재건축 추진위 승인 완료</t>
        </is>
      </c>
    </row>
    <row r="26">
      <c r="A26" s="15" t="inlineStr">
        <is>
          <t>단지</t>
        </is>
      </c>
      <c r="B26" s="15" t="inlineStr">
        <is>
          <t>매매가(억)</t>
        </is>
      </c>
    </row>
    <row r="27">
      <c r="A27" s="29" t="inlineStr">
        <is>
          <t>잠실엘스</t>
        </is>
      </c>
      <c r="B27" t="n">
        <v>28</v>
      </c>
    </row>
    <row r="28">
      <c r="A28" s="29" t="inlineStr">
        <is>
          <t>리센츠</t>
        </is>
      </c>
      <c r="B28" t="n">
        <v>27.5</v>
      </c>
    </row>
    <row r="29">
      <c r="A29" s="29" t="inlineStr">
        <is>
          <t>트리지움</t>
        </is>
      </c>
      <c r="B29" t="n">
        <v>25</v>
      </c>
    </row>
    <row r="30">
      <c r="A30" s="29" t="inlineStr">
        <is>
          <t>파크리오</t>
        </is>
      </c>
      <c r="B30" t="n">
        <v>28.5</v>
      </c>
    </row>
    <row r="31">
      <c r="A31" s="29" t="inlineStr">
        <is>
          <t>레이크팰리스</t>
        </is>
      </c>
      <c r="B31" t="n">
        <v>25.5</v>
      </c>
    </row>
    <row r="32">
      <c r="A32" s="29" t="inlineStr">
        <is>
          <t>잠실래미안아이파크</t>
        </is>
      </c>
      <c r="B32" t="n">
        <v>32</v>
      </c>
    </row>
    <row r="33">
      <c r="A33" s="29" t="inlineStr">
        <is>
          <t>헬리오시티</t>
        </is>
      </c>
      <c r="B33" t="n">
        <v>24.5</v>
      </c>
    </row>
    <row r="34">
      <c r="A34" s="29" t="inlineStr">
        <is>
          <t>올림픽파크포레온</t>
        </is>
      </c>
      <c r="B34" t="n">
        <v>24</v>
      </c>
    </row>
    <row r="35">
      <c r="A35" s="29" t="inlineStr">
        <is>
          <t>래미안원베일리</t>
        </is>
      </c>
      <c r="B35" t="n">
        <v>42</v>
      </c>
    </row>
    <row r="36">
      <c r="A36" s="29" t="inlineStr">
        <is>
          <t>디에이치포레센트</t>
        </is>
      </c>
      <c r="B36" t="n">
        <v>38</v>
      </c>
    </row>
    <row r="37">
      <c r="A37" s="29" t="inlineStr">
        <is>
          <t>잠실주공5단지</t>
        </is>
      </c>
      <c r="B37" t="n">
        <v>39.26</v>
      </c>
    </row>
    <row r="38">
      <c r="A38" s="29" t="inlineStr">
        <is>
          <t>장미1·2차</t>
        </is>
      </c>
      <c r="B38" t="n">
        <v>26.75</v>
      </c>
    </row>
    <row r="39">
      <c r="A39" s="29" t="inlineStr">
        <is>
          <t>장미3차</t>
        </is>
      </c>
      <c r="B39" t="n">
        <v>25</v>
      </c>
    </row>
    <row r="40">
      <c r="A40" s="29" t="inlineStr">
        <is>
          <t>우성1·2·3차</t>
        </is>
      </c>
      <c r="B40" t="n">
        <v>27.15</v>
      </c>
    </row>
    <row r="41">
      <c r="A41" s="29" t="inlineStr">
        <is>
          <t>우성4차</t>
        </is>
      </c>
      <c r="B41" t="n">
        <v>21.51</v>
      </c>
    </row>
    <row r="42">
      <c r="A42" s="29" t="inlineStr">
        <is>
          <t>아시아선수촌</t>
        </is>
      </c>
      <c r="B42" t="n">
        <v>29.78</v>
      </c>
    </row>
    <row r="43">
      <c r="A43" s="29" t="inlineStr">
        <is>
          <t>올림픽선수촌</t>
        </is>
      </c>
      <c r="B43" t="n">
        <v>25.2</v>
      </c>
    </row>
    <row r="44">
      <c r="A44" s="29" t="inlineStr">
        <is>
          <t>올림픽훼밀리</t>
        </is>
      </c>
      <c r="B44" t="n">
        <v>21.5</v>
      </c>
    </row>
  </sheetData>
  <mergeCells count="2">
    <mergeCell ref="A1:G1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 ht="36" customHeight="1">
      <c r="A1" s="1" t="inlineStr">
        <is>
          <t>정책/규제 영향 분석</t>
        </is>
      </c>
    </row>
    <row r="3" ht="28" customHeight="1">
      <c r="A3" s="3" t="inlineStr">
        <is>
          <t>정책/규제</t>
        </is>
      </c>
      <c r="B3" s="3" t="inlineStr">
        <is>
          <t>현황</t>
        </is>
      </c>
      <c r="C3" s="3" t="inlineStr">
        <is>
          <t>투자 영향</t>
        </is>
      </c>
      <c r="D3" s="3" t="inlineStr">
        <is>
          <t>영향도</t>
        </is>
      </c>
    </row>
    <row r="4">
      <c r="A4" s="4" t="inlineStr">
        <is>
          <t>토지거래허가구역</t>
        </is>
      </c>
      <c r="B4" s="4" t="inlineStr">
        <is>
          <t>강남·서초·송파·용산(아파트), 2026-12-31까지</t>
        </is>
      </c>
      <c r="C4" s="4" t="inlineStr">
        <is>
          <t>실거주 의무로 갭투자 제약</t>
        </is>
      </c>
      <c r="D4" s="24" t="inlineStr">
        <is>
          <t>매우높음</t>
        </is>
      </c>
    </row>
    <row r="5">
      <c r="A5" s="5" t="inlineStr">
        <is>
          <t>재건축초과이익환수제</t>
        </is>
      </c>
      <c r="B5" s="5" t="inlineStr">
        <is>
          <t>정비사업 수익구간별 부담금 부과</t>
        </is>
      </c>
      <c r="C5" s="5" t="inlineStr">
        <is>
          <t>초과이익 환수로 순수익 훼손</t>
        </is>
      </c>
      <c r="D5" s="24" t="inlineStr">
        <is>
          <t>매우높음</t>
        </is>
      </c>
    </row>
    <row r="6">
      <c r="A6" s="4" t="inlineStr">
        <is>
          <t>분양가상한제</t>
        </is>
      </c>
      <c r="B6" s="4" t="inlineStr">
        <is>
          <t>강남3구 등 주요 정비사업지 적용</t>
        </is>
      </c>
      <c r="C6" s="4" t="inlineStr">
        <is>
          <t>일반분양 수익 제한, 분담금 압력</t>
        </is>
      </c>
      <c r="D6" s="25" t="inlineStr">
        <is>
          <t>높음</t>
        </is>
      </c>
    </row>
    <row r="7">
      <c r="A7" s="5" t="inlineStr">
        <is>
          <t>스트레스 DSR 3단계</t>
        </is>
      </c>
      <c r="B7" s="5" t="inlineStr">
        <is>
          <t>2025-06-11 금융위 발표</t>
        </is>
      </c>
      <c r="C7" s="5" t="inlineStr">
        <is>
          <t>실수요 외 레버리지 한도 축소</t>
        </is>
      </c>
      <c r="D7" s="25" t="inlineStr">
        <is>
          <t>높음</t>
        </is>
      </c>
    </row>
    <row r="8">
      <c r="A8" s="4" t="inlineStr">
        <is>
          <t>기준금리</t>
        </is>
      </c>
      <c r="B8" s="4" t="inlineStr">
        <is>
          <t>한국은행 연 2.50% (2025-05-29 이후)</t>
        </is>
      </c>
      <c r="C8" s="4" t="inlineStr">
        <is>
          <t>차입비용 완화 vs 가계부채 재확대 경계</t>
        </is>
      </c>
      <c r="D8" s="4" t="inlineStr">
        <is>
          <t>중간</t>
        </is>
      </c>
    </row>
    <row r="9">
      <c r="A9" s="5" t="inlineStr">
        <is>
          <t>가계부채 관리기조</t>
        </is>
      </c>
      <c r="B9" s="5" t="inlineStr">
        <is>
          <t>한은 금융안정보고서(2025.06) 경계 강화</t>
        </is>
      </c>
      <c r="C9" s="5" t="inlineStr">
        <is>
          <t>주택시장 변동성 확대 구간</t>
        </is>
      </c>
      <c r="D9" s="25" t="inlineStr">
        <is>
          <t>높음</t>
        </is>
      </c>
    </row>
    <row r="10">
      <c r="A10" s="4" t="inlineStr">
        <is>
          <t>안전진단 제도완화</t>
        </is>
      </c>
      <c r="B10" s="4" t="inlineStr">
        <is>
          <t>구조안전성 비중 하향 유지</t>
        </is>
      </c>
      <c r="C10" s="4" t="inlineStr">
        <is>
          <t>사업 착수 문턱 완화</t>
        </is>
      </c>
      <c r="D10" s="37" t="inlineStr">
        <is>
          <t>긍정적</t>
        </is>
      </c>
    </row>
    <row r="11">
      <c r="A11" s="5" t="inlineStr">
        <is>
          <t>잠실 MICE/국제교류복합지구</t>
        </is>
      </c>
      <c r="B11" s="5" t="inlineStr">
        <is>
          <t>잠실종합운동장 일대 장기개발</t>
        </is>
      </c>
      <c r="C11" s="5" t="inlineStr">
        <is>
          <t>장기 입지가치 상향</t>
        </is>
      </c>
      <c r="D11" s="37" t="inlineStr">
        <is>
          <t>긍정적</t>
        </is>
      </c>
    </row>
    <row r="12">
      <c r="A12" s="4" t="inlineStr">
        <is>
          <t>3호선 송파하남연장</t>
        </is>
      </c>
      <c r="B12" s="4" t="inlineStr">
        <is>
          <t>장기 교통개선 계획</t>
        </is>
      </c>
      <c r="C12" s="4" t="inlineStr">
        <is>
          <t>동남권 접근성 개선 기대</t>
        </is>
      </c>
      <c r="D12" s="4" t="inlineStr">
        <is>
          <t>중간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" customWidth="1" min="18" max="18"/>
  </cols>
  <sheetData>
    <row r="1" ht="36" customHeight="1">
      <c r="A1" s="1" t="inlineStr">
        <is>
          <t>단지별 재건축 타임라인 로드맵 (2020~2035)</t>
        </is>
      </c>
    </row>
    <row r="3" ht="28" customHeight="1">
      <c r="A3" s="3" t="inlineStr">
        <is>
          <t>단지</t>
        </is>
      </c>
      <c r="B3" s="3" t="inlineStr">
        <is>
          <t>2020</t>
        </is>
      </c>
      <c r="C3" s="3" t="inlineStr">
        <is>
          <t>2021</t>
        </is>
      </c>
      <c r="D3" s="3" t="inlineStr">
        <is>
          <t>2022</t>
        </is>
      </c>
      <c r="E3" s="3" t="inlineStr">
        <is>
          <t>2023</t>
        </is>
      </c>
      <c r="F3" s="3" t="inlineStr">
        <is>
          <t>2024</t>
        </is>
      </c>
      <c r="G3" s="3" t="inlineStr">
        <is>
          <t>2025</t>
        </is>
      </c>
      <c r="H3" s="38" t="inlineStr">
        <is>
          <t>2026</t>
        </is>
      </c>
      <c r="I3" s="3" t="inlineStr">
        <is>
          <t>2027</t>
        </is>
      </c>
      <c r="J3" s="3" t="inlineStr">
        <is>
          <t>2028</t>
        </is>
      </c>
      <c r="K3" s="3" t="inlineStr">
        <is>
          <t>2029</t>
        </is>
      </c>
      <c r="L3" s="3" t="inlineStr">
        <is>
          <t>2030</t>
        </is>
      </c>
      <c r="M3" s="3" t="inlineStr">
        <is>
          <t>2031</t>
        </is>
      </c>
      <c r="N3" s="3" t="inlineStr">
        <is>
          <t>2032</t>
        </is>
      </c>
      <c r="O3" s="3" t="inlineStr">
        <is>
          <t>2033</t>
        </is>
      </c>
      <c r="P3" s="3" t="inlineStr">
        <is>
          <t>2034</t>
        </is>
      </c>
      <c r="Q3" s="3" t="inlineStr">
        <is>
          <t>2035</t>
        </is>
      </c>
    </row>
    <row r="4">
      <c r="A4" s="39" t="inlineStr">
        <is>
          <t>주공5</t>
        </is>
      </c>
      <c r="B4" s="40" t="inlineStr">
        <is>
          <t>조합설립인가</t>
        </is>
      </c>
      <c r="C4" s="4" t="n"/>
      <c r="D4" s="4" t="n"/>
      <c r="E4" s="4" t="n"/>
      <c r="F4" s="4" t="n"/>
      <c r="G4" s="40" t="inlineStr">
        <is>
          <t>사업시행인가 신청</t>
        </is>
      </c>
      <c r="H4" s="40" t="inlineStr">
        <is>
          <t>관리처분인가(목표)</t>
        </is>
      </c>
      <c r="I4" s="40" t="inlineStr">
        <is>
          <t>이주/착공</t>
        </is>
      </c>
      <c r="J4" s="4" t="n"/>
      <c r="K4" s="4" t="n"/>
      <c r="L4" s="40" t="inlineStr">
        <is>
          <t>준공(목표)</t>
        </is>
      </c>
      <c r="M4" s="40" t="inlineStr">
        <is>
          <t>입주</t>
        </is>
      </c>
      <c r="N4" s="4" t="n"/>
      <c r="O4" s="4" t="n"/>
      <c r="P4" s="4" t="n"/>
      <c r="Q4" s="4" t="n"/>
    </row>
    <row r="5">
      <c r="A5" s="41" t="inlineStr">
        <is>
          <t>장미1·2</t>
        </is>
      </c>
      <c r="B5" s="5" t="n"/>
      <c r="C5" s="40" t="inlineStr">
        <is>
          <t>조합설립인가</t>
        </is>
      </c>
      <c r="D5" s="5" t="n"/>
      <c r="E5" s="5" t="n"/>
      <c r="F5" s="5" t="n"/>
      <c r="G5" s="40" t="inlineStr">
        <is>
          <t>사업시행인가 진행</t>
        </is>
      </c>
      <c r="H5" s="42" t="n"/>
      <c r="I5" s="40" t="inlineStr">
        <is>
          <t>관리처분(목표)</t>
        </is>
      </c>
      <c r="J5" s="40" t="inlineStr">
        <is>
          <t>이주/착공</t>
        </is>
      </c>
      <c r="K5" s="5" t="n"/>
      <c r="L5" s="5" t="n"/>
      <c r="M5" s="40" t="inlineStr">
        <is>
          <t>준공(목표)</t>
        </is>
      </c>
      <c r="N5" s="40" t="inlineStr">
        <is>
          <t>입주</t>
        </is>
      </c>
      <c r="O5" s="5" t="n"/>
      <c r="P5" s="5" t="n"/>
      <c r="Q5" s="5" t="n"/>
    </row>
    <row r="6">
      <c r="A6" s="39" t="inlineStr">
        <is>
          <t>장미3</t>
        </is>
      </c>
      <c r="B6" s="4" t="n"/>
      <c r="C6" s="40" t="inlineStr">
        <is>
          <t>조합설립(통합)</t>
        </is>
      </c>
      <c r="D6" s="4" t="n"/>
      <c r="E6" s="4" t="n"/>
      <c r="F6" s="4" t="n"/>
      <c r="G6" s="40" t="inlineStr">
        <is>
          <t>사업시행인가 진행</t>
        </is>
      </c>
      <c r="H6" s="42" t="n"/>
      <c r="I6" s="40" t="inlineStr">
        <is>
          <t>관리처분(목표)</t>
        </is>
      </c>
      <c r="J6" s="40" t="inlineStr">
        <is>
          <t>이주/착공</t>
        </is>
      </c>
      <c r="K6" s="4" t="n"/>
      <c r="L6" s="4" t="n"/>
      <c r="M6" s="40" t="inlineStr">
        <is>
          <t>준공(목표)</t>
        </is>
      </c>
      <c r="N6" s="40" t="inlineStr">
        <is>
          <t>입주</t>
        </is>
      </c>
      <c r="O6" s="4" t="n"/>
      <c r="P6" s="4" t="n"/>
      <c r="Q6" s="4" t="n"/>
    </row>
    <row r="7">
      <c r="A7" s="41" t="inlineStr">
        <is>
          <t>우성1·2·3</t>
        </is>
      </c>
      <c r="B7" s="40" t="inlineStr">
        <is>
          <t>조합설립인가</t>
        </is>
      </c>
      <c r="C7" s="5" t="n"/>
      <c r="D7" s="5" t="n"/>
      <c r="E7" s="5" t="n"/>
      <c r="F7" s="5" t="n"/>
      <c r="G7" s="40" t="inlineStr">
        <is>
          <t>사업시행인가(GS건설)</t>
        </is>
      </c>
      <c r="H7" s="40" t="inlineStr">
        <is>
          <t>관리처분(목표)</t>
        </is>
      </c>
      <c r="I7" s="40" t="inlineStr">
        <is>
          <t>이주/착공</t>
        </is>
      </c>
      <c r="J7" s="5" t="n"/>
      <c r="K7" s="5" t="n"/>
      <c r="L7" s="5" t="n"/>
      <c r="M7" s="40" t="inlineStr">
        <is>
          <t>준공(목표)</t>
        </is>
      </c>
      <c r="N7" s="40" t="inlineStr">
        <is>
          <t>입주</t>
        </is>
      </c>
      <c r="O7" s="5" t="n"/>
      <c r="P7" s="5" t="n"/>
      <c r="Q7" s="5" t="n"/>
    </row>
    <row r="8">
      <c r="A8" s="39" t="inlineStr">
        <is>
          <t>우성4</t>
        </is>
      </c>
      <c r="B8" s="40" t="inlineStr">
        <is>
          <t>조합설립인가</t>
        </is>
      </c>
      <c r="C8" s="4" t="n"/>
      <c r="D8" s="4" t="n"/>
      <c r="E8" s="4" t="n"/>
      <c r="F8" s="40" t="inlineStr">
        <is>
          <t>사업시행인가 완료</t>
        </is>
      </c>
      <c r="G8" s="4" t="n"/>
      <c r="H8" s="40" t="inlineStr">
        <is>
          <t>관리처분인가/이주
착공(09월)</t>
        </is>
      </c>
      <c r="I8" s="4" t="n"/>
      <c r="J8" s="4" t="n"/>
      <c r="K8" s="40" t="inlineStr">
        <is>
          <t>준공(목표)</t>
        </is>
      </c>
      <c r="L8" s="40" t="inlineStr">
        <is>
          <t>입주</t>
        </is>
      </c>
      <c r="M8" s="4" t="n"/>
      <c r="N8" s="4" t="n"/>
      <c r="O8" s="4" t="n"/>
      <c r="P8" s="4" t="n"/>
      <c r="Q8" s="4" t="n"/>
    </row>
    <row r="9">
      <c r="A9" s="41" t="inlineStr">
        <is>
          <t>아시아</t>
        </is>
      </c>
      <c r="B9" s="5" t="n"/>
      <c r="C9" s="5" t="n"/>
      <c r="D9" s="5" t="n"/>
      <c r="E9" s="5" t="n"/>
      <c r="F9" s="40" t="inlineStr">
        <is>
          <t>추진위 승인</t>
        </is>
      </c>
      <c r="G9" s="5" t="n"/>
      <c r="H9" s="40" t="inlineStr">
        <is>
          <t>조합설립(목표)</t>
        </is>
      </c>
      <c r="I9" s="5" t="n"/>
      <c r="J9" s="40" t="inlineStr">
        <is>
          <t>사업시행인가(목표)</t>
        </is>
      </c>
      <c r="K9" s="5" t="n"/>
      <c r="L9" s="40" t="inlineStr">
        <is>
          <t>이주/착공</t>
        </is>
      </c>
      <c r="M9" s="5" t="n"/>
      <c r="N9" s="5" t="n"/>
      <c r="O9" s="40" t="inlineStr">
        <is>
          <t>준공(목표)</t>
        </is>
      </c>
      <c r="P9" s="5" t="n"/>
      <c r="Q9" s="40" t="inlineStr">
        <is>
          <t>입주</t>
        </is>
      </c>
    </row>
    <row r="10">
      <c r="A10" s="39" t="inlineStr">
        <is>
          <t>선수촌</t>
        </is>
      </c>
      <c r="B10" s="4" t="n"/>
      <c r="C10" s="4" t="n"/>
      <c r="D10" s="4" t="n"/>
      <c r="E10" s="4" t="n"/>
      <c r="F10" s="40" t="inlineStr">
        <is>
          <t>추진위 승인</t>
        </is>
      </c>
      <c r="G10" s="4" t="n"/>
      <c r="H10" s="40" t="inlineStr">
        <is>
          <t>조합설립(목표)</t>
        </is>
      </c>
      <c r="I10" s="4" t="n"/>
      <c r="J10" s="40" t="inlineStr">
        <is>
          <t>사업시행인가(목표)</t>
        </is>
      </c>
      <c r="K10" s="40" t="inlineStr">
        <is>
          <t>이주/착공</t>
        </is>
      </c>
      <c r="L10" s="4" t="n"/>
      <c r="M10" s="4" t="n"/>
      <c r="N10" s="4" t="n"/>
      <c r="O10" s="40" t="inlineStr">
        <is>
          <t>준공(목표)</t>
        </is>
      </c>
      <c r="P10" s="4" t="n"/>
      <c r="Q10" s="40" t="inlineStr">
        <is>
          <t>입주</t>
        </is>
      </c>
    </row>
    <row r="11">
      <c r="A11" s="41" t="inlineStr">
        <is>
          <t>훼밀리</t>
        </is>
      </c>
      <c r="B11" s="5" t="n"/>
      <c r="C11" s="5" t="n"/>
      <c r="D11" s="5" t="n"/>
      <c r="E11" s="5" t="n"/>
      <c r="F11" s="40" t="inlineStr">
        <is>
          <t>추진위 승인</t>
        </is>
      </c>
      <c r="G11" s="5" t="n"/>
      <c r="H11" s="40" t="inlineStr">
        <is>
          <t>조합설립(목표)</t>
        </is>
      </c>
      <c r="I11" s="5" t="n"/>
      <c r="J11" s="40" t="inlineStr">
        <is>
          <t>사업시행인가(목표)</t>
        </is>
      </c>
      <c r="K11" s="40" t="inlineStr">
        <is>
          <t>이주/착공</t>
        </is>
      </c>
      <c r="L11" s="5" t="n"/>
      <c r="M11" s="5" t="n"/>
      <c r="N11" s="5" t="n"/>
      <c r="O11" s="40" t="inlineStr">
        <is>
          <t>준공(목표)</t>
        </is>
      </c>
      <c r="P11" s="5" t="n"/>
      <c r="Q11" s="40" t="inlineStr">
        <is>
          <t>입주</t>
        </is>
      </c>
    </row>
    <row r="14">
      <c r="A14" s="43" t="inlineStr">
        <is>
          <t>범례:</t>
        </is>
      </c>
    </row>
    <row r="15">
      <c r="A15" s="44" t="inlineStr">
        <is>
          <t>노란색 셀 = 주요 이벤트</t>
        </is>
      </c>
    </row>
    <row r="16">
      <c r="A16" s="45" t="inlineStr">
        <is>
          <t>파란색 열 = 현재 연도 (2026)</t>
        </is>
      </c>
    </row>
  </sheetData>
  <mergeCells count="1">
    <mergeCell ref="A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8" customWidth="1" min="8" max="8"/>
  </cols>
  <sheetData>
    <row r="1" ht="36" customHeight="1">
      <c r="A1" s="1" t="inlineStr">
        <is>
          <t>송파구 전체 재건축/재개발/리모델링 현황 (28개 사업)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유형</t>
        </is>
      </c>
      <c r="D3" s="3" t="inlineStr">
        <is>
          <t>준공</t>
        </is>
      </c>
      <c r="E3" s="3" t="inlineStr">
        <is>
          <t>기존세대</t>
        </is>
      </c>
      <c r="F3" s="3" t="inlineStr">
        <is>
          <t>재건축세대</t>
        </is>
      </c>
      <c r="G3" s="3" t="inlineStr">
        <is>
          <t>진행단계</t>
        </is>
      </c>
      <c r="H3" s="3" t="inlineStr">
        <is>
          <t>유망도</t>
        </is>
      </c>
    </row>
    <row r="4">
      <c r="A4" s="4" t="inlineStr">
        <is>
          <t>잠실주공5단지</t>
        </is>
      </c>
      <c r="B4" s="4" t="inlineStr">
        <is>
          <t>잠실동</t>
        </is>
      </c>
      <c r="C4" s="4" t="inlineStr">
        <is>
          <t>재건축</t>
        </is>
      </c>
      <c r="D4" s="4" t="n">
        <v>1978</v>
      </c>
      <c r="E4" s="4" t="n">
        <v>3930</v>
      </c>
      <c r="F4" s="4" t="n">
        <v>6491</v>
      </c>
      <c r="G4" s="4" t="inlineStr">
        <is>
          <t>사업시행인가 신청</t>
        </is>
      </c>
      <c r="H4" s="37" t="inlineStr">
        <is>
          <t>상</t>
        </is>
      </c>
    </row>
    <row r="5">
      <c r="A5" s="5" t="inlineStr">
        <is>
          <t>장미1·2·3차(통합)</t>
        </is>
      </c>
      <c r="B5" s="5" t="inlineStr">
        <is>
          <t>잠실동</t>
        </is>
      </c>
      <c r="C5" s="5" t="inlineStr">
        <is>
          <t>재건축</t>
        </is>
      </c>
      <c r="D5" s="5" t="n">
        <v>1979</v>
      </c>
      <c r="E5" s="5" t="n">
        <v>3162</v>
      </c>
      <c r="F5" s="5" t="n">
        <v>5165</v>
      </c>
      <c r="G5" s="5" t="inlineStr">
        <is>
          <t>사업시행인가 진행중</t>
        </is>
      </c>
      <c r="H5" s="37" t="inlineStr">
        <is>
          <t>상</t>
        </is>
      </c>
    </row>
    <row r="6">
      <c r="A6" s="4" t="inlineStr">
        <is>
          <t>우성1·2·3차</t>
        </is>
      </c>
      <c r="B6" s="4" t="inlineStr">
        <is>
          <t>잠실동</t>
        </is>
      </c>
      <c r="C6" s="4" t="inlineStr">
        <is>
          <t>재건축</t>
        </is>
      </c>
      <c r="D6" s="4" t="n">
        <v>1981</v>
      </c>
      <c r="E6" s="4" t="n">
        <v>1842</v>
      </c>
      <c r="F6" s="4" t="n">
        <v>2680</v>
      </c>
      <c r="G6" s="4" t="inlineStr">
        <is>
          <t>사업시행인가 진행중</t>
        </is>
      </c>
      <c r="H6" s="37" t="inlineStr">
        <is>
          <t>상</t>
        </is>
      </c>
    </row>
    <row r="7">
      <c r="A7" s="5" t="inlineStr">
        <is>
          <t>우성4차</t>
        </is>
      </c>
      <c r="B7" s="5" t="inlineStr">
        <is>
          <t>잠실동</t>
        </is>
      </c>
      <c r="C7" s="5" t="inlineStr">
        <is>
          <t>재건축</t>
        </is>
      </c>
      <c r="D7" s="5" t="n">
        <v>1982</v>
      </c>
      <c r="E7" s="5" t="n">
        <v>555</v>
      </c>
      <c r="F7" s="5" t="n">
        <v>825</v>
      </c>
      <c r="G7" s="5" t="inlineStr">
        <is>
          <t>관리처분인가 준비중</t>
        </is>
      </c>
      <c r="H7" s="37" t="inlineStr">
        <is>
          <t>상</t>
        </is>
      </c>
    </row>
    <row r="8">
      <c r="A8" s="4" t="inlineStr">
        <is>
          <t>아시아선수촌</t>
        </is>
      </c>
      <c r="B8" s="4" t="inlineStr">
        <is>
          <t>잠실동</t>
        </is>
      </c>
      <c r="C8" s="4" t="inlineStr">
        <is>
          <t>재건축</t>
        </is>
      </c>
      <c r="D8" s="4" t="n">
        <v>1986</v>
      </c>
      <c r="E8" s="4" t="n">
        <v>1356</v>
      </c>
      <c r="F8" s="4" t="n">
        <v>3483</v>
      </c>
      <c r="G8" s="4" t="inlineStr">
        <is>
          <t>추진위 승인</t>
        </is>
      </c>
      <c r="H8" s="37" t="inlineStr">
        <is>
          <t>상</t>
        </is>
      </c>
    </row>
    <row r="9">
      <c r="A9" s="5" t="inlineStr">
        <is>
          <t>올림픽선수기자촌</t>
        </is>
      </c>
      <c r="B9" s="5" t="inlineStr">
        <is>
          <t>방이동</t>
        </is>
      </c>
      <c r="C9" s="5" t="inlineStr">
        <is>
          <t>재건축</t>
        </is>
      </c>
      <c r="D9" s="5" t="n">
        <v>1988</v>
      </c>
      <c r="E9" s="5" t="n">
        <v>5540</v>
      </c>
      <c r="F9" s="5" t="n">
        <v>9200</v>
      </c>
      <c r="G9" s="5" t="inlineStr">
        <is>
          <t>추진위 승인</t>
        </is>
      </c>
      <c r="H9" s="37" t="inlineStr">
        <is>
          <t>상</t>
        </is>
      </c>
    </row>
    <row r="10">
      <c r="A10" s="4" t="inlineStr">
        <is>
          <t>올림픽훼밀리타운</t>
        </is>
      </c>
      <c r="B10" s="4" t="inlineStr">
        <is>
          <t>문정동</t>
        </is>
      </c>
      <c r="C10" s="4" t="inlineStr">
        <is>
          <t>재건축</t>
        </is>
      </c>
      <c r="D10" s="4" t="n">
        <v>1988</v>
      </c>
      <c r="E10" s="4" t="n">
        <v>4494</v>
      </c>
      <c r="F10" s="4" t="n">
        <v>6620</v>
      </c>
      <c r="G10" s="4" t="inlineStr">
        <is>
          <t>추진위 승인</t>
        </is>
      </c>
      <c r="H10" s="37" t="inlineStr">
        <is>
          <t>상</t>
        </is>
      </c>
    </row>
    <row r="11">
      <c r="A11" s="5" t="inlineStr">
        <is>
          <t>잠실르엘(미성크로바)</t>
        </is>
      </c>
      <c r="B11" s="5" t="inlineStr">
        <is>
          <t>잠실동</t>
        </is>
      </c>
      <c r="C11" s="5" t="inlineStr">
        <is>
          <t>재건축</t>
        </is>
      </c>
      <c r="D11" s="5" t="n">
        <v>1978</v>
      </c>
      <c r="E11" s="5" t="n">
        <v>1400</v>
      </c>
      <c r="F11" s="5" t="n">
        <v>1865</v>
      </c>
      <c r="G11" s="5" t="inlineStr">
        <is>
          <t>시공중(2026분양)</t>
        </is>
      </c>
      <c r="H11" s="42" t="inlineStr">
        <is>
          <t>완료단계</t>
        </is>
      </c>
    </row>
    <row r="12">
      <c r="A12" s="4" t="inlineStr">
        <is>
          <t>잠실래미안아이파크(진주)</t>
        </is>
      </c>
      <c r="B12" s="4" t="inlineStr">
        <is>
          <t>잠실동</t>
        </is>
      </c>
      <c r="C12" s="4" t="inlineStr">
        <is>
          <t>재건축</t>
        </is>
      </c>
      <c r="D12" s="4" t="n">
        <v>1980</v>
      </c>
      <c r="E12" s="4" t="n">
        <v>1507</v>
      </c>
      <c r="F12" s="4" t="n">
        <v>2678</v>
      </c>
      <c r="G12" s="4" t="inlineStr">
        <is>
          <t>준공(2025.12)</t>
        </is>
      </c>
      <c r="H12" s="42" t="inlineStr">
        <is>
          <t>완료단계</t>
        </is>
      </c>
    </row>
    <row r="13">
      <c r="A13" s="5" t="inlineStr">
        <is>
          <t>가락극동(르엘)</t>
        </is>
      </c>
      <c r="B13" s="5" t="inlineStr">
        <is>
          <t>가락동</t>
        </is>
      </c>
      <c r="C13" s="5" t="inlineStr">
        <is>
          <t>재건축</t>
        </is>
      </c>
      <c r="D13" s="5" t="n">
        <v>1984</v>
      </c>
      <c r="E13" s="5" t="n">
        <v>588</v>
      </c>
      <c r="F13" s="5" t="n">
        <v>999</v>
      </c>
      <c r="G13" s="5" t="inlineStr">
        <is>
          <t>시공사선정(롯데)</t>
        </is>
      </c>
      <c r="H13" s="46" t="inlineStr">
        <is>
          <t>중상</t>
        </is>
      </c>
    </row>
    <row r="14">
      <c r="A14" s="4" t="inlineStr">
        <is>
          <t>가락프라자</t>
        </is>
      </c>
      <c r="B14" s="4" t="inlineStr">
        <is>
          <t>가락동</t>
        </is>
      </c>
      <c r="C14" s="4" t="inlineStr">
        <is>
          <t>재건축</t>
        </is>
      </c>
      <c r="D14" s="4" t="n">
        <v>1985</v>
      </c>
      <c r="E14" s="4" t="n">
        <v>670</v>
      </c>
      <c r="F14" s="4" t="n">
        <v>1068</v>
      </c>
      <c r="G14" s="4" t="inlineStr">
        <is>
          <t>관리처분완료/이주시작</t>
        </is>
      </c>
      <c r="H14" s="46" t="inlineStr">
        <is>
          <t>중상</t>
        </is>
      </c>
    </row>
    <row r="15">
      <c r="A15" s="5" t="inlineStr">
        <is>
          <t>삼환가락</t>
        </is>
      </c>
      <c r="B15" s="5" t="inlineStr">
        <is>
          <t>가락동</t>
        </is>
      </c>
      <c r="C15" s="5" t="inlineStr">
        <is>
          <t>재건축</t>
        </is>
      </c>
      <c r="D15" s="5" t="n">
        <v>1984</v>
      </c>
      <c r="E15" s="5" t="n">
        <v>660</v>
      </c>
      <c r="F15" s="5" t="n">
        <v>1101</v>
      </c>
      <c r="G15" s="5" t="inlineStr">
        <is>
          <t>사업시행인가 완료</t>
        </is>
      </c>
      <c r="H15" s="5" t="inlineStr">
        <is>
          <t>중</t>
        </is>
      </c>
    </row>
    <row r="16">
      <c r="A16" s="4" t="inlineStr">
        <is>
          <t>가락미륭</t>
        </is>
      </c>
      <c r="B16" s="4" t="inlineStr">
        <is>
          <t>가락동</t>
        </is>
      </c>
      <c r="C16" s="4" t="inlineStr">
        <is>
          <t>재건축</t>
        </is>
      </c>
      <c r="D16" s="4" t="n">
        <v>1985</v>
      </c>
      <c r="E16" s="4" t="n">
        <v>450</v>
      </c>
      <c r="F16" s="4" t="n">
        <v>614</v>
      </c>
      <c r="G16" s="4" t="inlineStr">
        <is>
          <t>사업시행인가 완료</t>
        </is>
      </c>
      <c r="H16" s="4" t="inlineStr">
        <is>
          <t>중</t>
        </is>
      </c>
    </row>
    <row r="17">
      <c r="A17" s="5" t="inlineStr">
        <is>
          <t>가락상아1차</t>
        </is>
      </c>
      <c r="B17" s="5" t="inlineStr">
        <is>
          <t>가락동</t>
        </is>
      </c>
      <c r="C17" s="5" t="inlineStr">
        <is>
          <t>재건축</t>
        </is>
      </c>
      <c r="D17" s="5" t="n">
        <v>1984</v>
      </c>
      <c r="E17" s="5" t="n">
        <v>226</v>
      </c>
      <c r="F17" s="5" t="n">
        <v>405</v>
      </c>
      <c r="G17" s="5" t="inlineStr">
        <is>
          <t>이주완료/착공준비</t>
        </is>
      </c>
      <c r="H17" s="5" t="inlineStr">
        <is>
          <t>중</t>
        </is>
      </c>
    </row>
    <row r="18">
      <c r="A18" s="4" t="inlineStr">
        <is>
          <t>가락쌍용1차</t>
        </is>
      </c>
      <c r="B18" s="4" t="inlineStr">
        <is>
          <t>가락동</t>
        </is>
      </c>
      <c r="C18" s="4" t="inlineStr">
        <is>
          <t>리모델링</t>
        </is>
      </c>
      <c r="D18" s="4" t="n">
        <v>1987</v>
      </c>
      <c r="E18" s="4" t="n">
        <v>2064</v>
      </c>
      <c r="F18" s="4" t="n">
        <v>2348</v>
      </c>
      <c r="G18" s="4" t="inlineStr">
        <is>
          <t>사전자문 통과</t>
        </is>
      </c>
      <c r="H18" s="4" t="inlineStr">
        <is>
          <t>중</t>
        </is>
      </c>
    </row>
    <row r="19">
      <c r="A19" s="5" t="inlineStr">
        <is>
          <t>가락쌍용2차(래미안아펠릭스)</t>
        </is>
      </c>
      <c r="B19" s="5" t="inlineStr">
        <is>
          <t>가락동</t>
        </is>
      </c>
      <c r="C19" s="5" t="inlineStr">
        <is>
          <t>리모델링</t>
        </is>
      </c>
      <c r="D19" s="5" t="n">
        <v>1988</v>
      </c>
      <c r="E19" s="5" t="n">
        <v>492</v>
      </c>
      <c r="F19" s="5" t="n">
        <v>565</v>
      </c>
      <c r="G19" s="5" t="inlineStr">
        <is>
          <t>조합설립/시공사선정</t>
        </is>
      </c>
      <c r="H19" s="5" t="inlineStr">
        <is>
          <t>중</t>
        </is>
      </c>
    </row>
    <row r="20">
      <c r="A20" s="4" t="inlineStr">
        <is>
          <t>한양3차+대림가락(래미안비아채)</t>
        </is>
      </c>
      <c r="B20" s="4" t="inlineStr">
        <is>
          <t>방이동</t>
        </is>
      </c>
      <c r="C20" s="4" t="inlineStr">
        <is>
          <t>재건축</t>
        </is>
      </c>
      <c r="D20" s="4" t="n">
        <v>1984</v>
      </c>
      <c r="E20" s="4" t="n">
        <v>1060</v>
      </c>
      <c r="F20" s="4" t="n">
        <v>1374</v>
      </c>
      <c r="G20" s="4" t="inlineStr">
        <is>
          <t>시공사선정(삼성물산)</t>
        </is>
      </c>
      <c r="H20" s="46" t="inlineStr">
        <is>
          <t>중상</t>
        </is>
      </c>
    </row>
    <row r="21">
      <c r="A21" s="5" t="inlineStr">
        <is>
          <t>방이코오롱</t>
        </is>
      </c>
      <c r="B21" s="5" t="inlineStr">
        <is>
          <t>방이동</t>
        </is>
      </c>
      <c r="C21" s="5" t="inlineStr">
        <is>
          <t>재건축</t>
        </is>
      </c>
      <c r="D21" s="5" t="n">
        <v>1991</v>
      </c>
      <c r="E21" s="5" t="n">
        <v>758</v>
      </c>
      <c r="F21" s="5" t="n">
        <v>1011</v>
      </c>
      <c r="G21" s="5" t="inlineStr">
        <is>
          <t>안전진단통과/추진위구성</t>
        </is>
      </c>
      <c r="H21" s="5" t="inlineStr">
        <is>
          <t>중</t>
        </is>
      </c>
    </row>
    <row r="22">
      <c r="A22" s="4" t="inlineStr">
        <is>
          <t>오금현대2·3·4차</t>
        </is>
      </c>
      <c r="B22" s="4" t="inlineStr">
        <is>
          <t>오금동</t>
        </is>
      </c>
      <c r="C22" s="4" t="inlineStr">
        <is>
          <t>재건축</t>
        </is>
      </c>
      <c r="D22" s="4" t="n">
        <v>1984</v>
      </c>
      <c r="E22" s="4" t="n">
        <v>1316</v>
      </c>
      <c r="F22" s="4" t="n">
        <v>2436</v>
      </c>
      <c r="G22" s="4" t="inlineStr">
        <is>
          <t>정비구역확정/조합설립중</t>
        </is>
      </c>
      <c r="H22" s="46" t="inlineStr">
        <is>
          <t>중상</t>
        </is>
      </c>
    </row>
    <row r="23">
      <c r="A23" s="5" t="inlineStr">
        <is>
          <t>오금대림</t>
        </is>
      </c>
      <c r="B23" s="5" t="inlineStr">
        <is>
          <t>오금동</t>
        </is>
      </c>
      <c r="C23" s="5" t="inlineStr">
        <is>
          <t>재건축</t>
        </is>
      </c>
      <c r="D23" s="5" t="n">
        <v>1988</v>
      </c>
      <c r="E23" s="5" t="n">
        <v>749</v>
      </c>
      <c r="F23" s="5" t="n"/>
      <c r="G23" s="5" t="inlineStr">
        <is>
          <t>안전진단E등급/재건축확정</t>
        </is>
      </c>
      <c r="H23" s="5" t="inlineStr">
        <is>
          <t>중</t>
        </is>
      </c>
    </row>
    <row r="24">
      <c r="A24" s="4" t="inlineStr">
        <is>
          <t>송파한양1차</t>
        </is>
      </c>
      <c r="B24" s="4" t="inlineStr">
        <is>
          <t>송파동</t>
        </is>
      </c>
      <c r="C24" s="4" t="inlineStr">
        <is>
          <t>재건축</t>
        </is>
      </c>
      <c r="D24" s="4" t="n">
        <v>1983</v>
      </c>
      <c r="E24" s="4" t="n">
        <v>748</v>
      </c>
      <c r="F24" s="4" t="n">
        <v>954</v>
      </c>
      <c r="G24" s="4" t="inlineStr">
        <is>
          <t>신통기획 자문완료</t>
        </is>
      </c>
      <c r="H24" s="4" t="inlineStr">
        <is>
          <t>중</t>
        </is>
      </c>
    </row>
    <row r="25">
      <c r="A25" s="5" t="inlineStr">
        <is>
          <t>송파한양2차</t>
        </is>
      </c>
      <c r="B25" s="5" t="inlineStr">
        <is>
          <t>송파동</t>
        </is>
      </c>
      <c r="C25" s="5" t="inlineStr">
        <is>
          <t>재건축</t>
        </is>
      </c>
      <c r="D25" s="5" t="n">
        <v>1983</v>
      </c>
      <c r="E25" s="5" t="n">
        <v>930</v>
      </c>
      <c r="F25" s="5" t="n">
        <v>1346</v>
      </c>
      <c r="G25" s="5" t="inlineStr">
        <is>
          <t>정비구역확정/시공사선정중</t>
        </is>
      </c>
      <c r="H25" s="46" t="inlineStr">
        <is>
          <t>중상</t>
        </is>
      </c>
    </row>
    <row r="26">
      <c r="A26" s="4" t="inlineStr">
        <is>
          <t>풍납미성</t>
        </is>
      </c>
      <c r="B26" s="4" t="inlineStr">
        <is>
          <t>풍납동</t>
        </is>
      </c>
      <c r="C26" s="4" t="inlineStr">
        <is>
          <t>재건축</t>
        </is>
      </c>
      <c r="D26" s="4" t="n">
        <v>1987</v>
      </c>
      <c r="E26" s="4" t="n">
        <v>311</v>
      </c>
      <c r="F26" s="4" t="n">
        <v>413</v>
      </c>
      <c r="G26" s="4" t="inlineStr">
        <is>
          <t>신통기획 자문완료</t>
        </is>
      </c>
      <c r="H26" s="46" t="inlineStr">
        <is>
          <t>중상</t>
        </is>
      </c>
    </row>
    <row r="27">
      <c r="A27" s="5" t="inlineStr">
        <is>
          <t>풍납극동</t>
        </is>
      </c>
      <c r="B27" s="5" t="inlineStr">
        <is>
          <t>풍납동</t>
        </is>
      </c>
      <c r="C27" s="5" t="inlineStr">
        <is>
          <t>재건축</t>
        </is>
      </c>
      <c r="D27" s="5" t="n">
        <v>1986</v>
      </c>
      <c r="E27" s="5" t="n">
        <v>400</v>
      </c>
      <c r="F27" s="5" t="n">
        <v>642</v>
      </c>
      <c r="G27" s="5" t="inlineStr">
        <is>
          <t>신통기획 자문완료</t>
        </is>
      </c>
      <c r="H27" s="46" t="inlineStr">
        <is>
          <t>중상</t>
        </is>
      </c>
    </row>
    <row r="28">
      <c r="A28" s="4" t="inlineStr">
        <is>
          <t>마천1구역</t>
        </is>
      </c>
      <c r="B28" s="4" t="inlineStr">
        <is>
          <t>마천동</t>
        </is>
      </c>
      <c r="C28" s="4" t="inlineStr">
        <is>
          <t>재개발</t>
        </is>
      </c>
      <c r="D28" s="4" t="n"/>
      <c r="E28" s="4" t="n"/>
      <c r="F28" s="4" t="n">
        <v>2900</v>
      </c>
      <c r="G28" s="4" t="inlineStr">
        <is>
          <t>추진중</t>
        </is>
      </c>
      <c r="H28" s="4" t="inlineStr">
        <is>
          <t>중</t>
        </is>
      </c>
    </row>
    <row r="29">
      <c r="A29" s="5" t="inlineStr">
        <is>
          <t>마천2구역</t>
        </is>
      </c>
      <c r="B29" s="5" t="inlineStr">
        <is>
          <t>마천동</t>
        </is>
      </c>
      <c r="C29" s="5" t="inlineStr">
        <is>
          <t>재개발</t>
        </is>
      </c>
      <c r="D29" s="5" t="n"/>
      <c r="E29" s="5" t="n"/>
      <c r="F29" s="5" t="n">
        <v>1729</v>
      </c>
      <c r="G29" s="5" t="inlineStr">
        <is>
          <t>촉진구역확정</t>
        </is>
      </c>
      <c r="H29" s="5" t="inlineStr">
        <is>
          <t>중</t>
        </is>
      </c>
    </row>
    <row r="30">
      <c r="A30" s="4" t="inlineStr">
        <is>
          <t>마천4구역</t>
        </is>
      </c>
      <c r="B30" s="4" t="inlineStr">
        <is>
          <t>마천동</t>
        </is>
      </c>
      <c r="C30" s="4" t="inlineStr">
        <is>
          <t>재개발</t>
        </is>
      </c>
      <c r="D30" s="4" t="n"/>
      <c r="E30" s="4" t="n"/>
      <c r="F30" s="4" t="n">
        <v>1254</v>
      </c>
      <c r="G30" s="4" t="inlineStr">
        <is>
          <t>사업시행진행(현대건설)</t>
        </is>
      </c>
      <c r="H30" s="4" t="inlineStr">
        <is>
          <t>중</t>
        </is>
      </c>
    </row>
    <row r="31">
      <c r="A31" s="5" t="inlineStr">
        <is>
          <t>거여새마을</t>
        </is>
      </c>
      <c r="B31" s="5" t="inlineStr">
        <is>
          <t>거여동</t>
        </is>
      </c>
      <c r="C31" s="5" t="inlineStr">
        <is>
          <t>재개발</t>
        </is>
      </c>
      <c r="D31" s="5" t="n"/>
      <c r="E31" s="5" t="n"/>
      <c r="F31" s="5" t="n">
        <v>1678</v>
      </c>
      <c r="G31" s="5" t="inlineStr">
        <is>
          <t>시공사선정(삼성+GS)</t>
        </is>
      </c>
      <c r="H31" s="5" t="inlineStr">
        <is>
          <t>중</t>
        </is>
      </c>
    </row>
    <row r="34">
      <c r="A34" s="30" t="inlineStr">
        <is>
          <t>※ 총 41개 정비사업 중 주요 28개 사업 표시. 소규모 정비/가로주택 등 제외.</t>
        </is>
      </c>
    </row>
  </sheetData>
  <mergeCells count="2">
    <mergeCell ref="A34:H34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0" customWidth="1" min="6" max="6"/>
    <col width="56" customWidth="1" min="7" max="7"/>
  </cols>
  <sheetData>
    <row r="1" ht="36" customHeight="1">
      <c r="A1" s="1" t="inlineStr">
        <is>
          <t>현실 검증(실거래 교차체크) 및 출처 신뢰도</t>
        </is>
      </c>
    </row>
    <row r="3">
      <c r="A3" s="2" t="inlineStr">
        <is>
          <t>[1] MCP 교차검증 반영 로그</t>
        </is>
      </c>
    </row>
    <row r="4" ht="28" customHeight="1">
      <c r="A4" s="3" t="inlineStr">
        <is>
          <t>단지</t>
        </is>
      </c>
      <c r="B4" s="3" t="inlineStr">
        <is>
          <t>기존매매</t>
        </is>
      </c>
      <c r="C4" s="3" t="inlineStr">
        <is>
          <t>MCP매매</t>
        </is>
      </c>
      <c r="D4" s="3" t="inlineStr">
        <is>
          <t>반영매매</t>
        </is>
      </c>
      <c r="E4" s="3" t="inlineStr">
        <is>
          <t>표본(매매/전월세)</t>
        </is>
      </c>
      <c r="F4" s="3" t="inlineStr">
        <is>
          <t>신뢰도</t>
        </is>
      </c>
      <c r="G4" s="3" t="inlineStr">
        <is>
          <t>판단</t>
        </is>
      </c>
    </row>
    <row r="5">
      <c r="A5" s="4" t="inlineStr">
        <is>
          <t>잠실주공5단지</t>
        </is>
      </c>
      <c r="B5" s="4" t="n">
        <v>45</v>
      </c>
      <c r="C5" s="4" t="n">
        <v>39.26</v>
      </c>
      <c r="D5" s="4" t="n">
        <v>39.26</v>
      </c>
      <c r="E5" s="4" t="inlineStr">
        <is>
          <t>146/636</t>
        </is>
      </c>
      <c r="F5" s="4" t="inlineStr">
        <is>
          <t>high (1.0)</t>
        </is>
      </c>
      <c r="G5" s="4" t="inlineStr">
        <is>
          <t>고신뢰: MCP 값 적극 반영</t>
        </is>
      </c>
    </row>
    <row r="6">
      <c r="A6" s="5" t="inlineStr">
        <is>
          <t>장미1·2차</t>
        </is>
      </c>
      <c r="B6" s="5" t="n">
        <v>26.5</v>
      </c>
      <c r="C6" s="5" t="n">
        <v>26.75</v>
      </c>
      <c r="D6" s="5" t="n">
        <v>26.75</v>
      </c>
      <c r="E6" s="5" t="inlineStr">
        <is>
          <t>37/221</t>
        </is>
      </c>
      <c r="F6" s="5" t="inlineStr">
        <is>
          <t>high (1.0)</t>
        </is>
      </c>
      <c r="G6" s="5" t="inlineStr">
        <is>
          <t>고신뢰: MCP 값 적극 반영</t>
        </is>
      </c>
    </row>
    <row r="7">
      <c r="A7" s="4" t="inlineStr">
        <is>
          <t>장미3차</t>
        </is>
      </c>
      <c r="B7" s="4" t="n">
        <v>25</v>
      </c>
      <c r="C7" s="4" t="inlineStr">
        <is>
          <t>-</t>
        </is>
      </c>
      <c r="D7" s="4" t="n">
        <v>25</v>
      </c>
      <c r="E7" s="4" t="inlineStr">
        <is>
          <t>0/0</t>
        </is>
      </c>
      <c r="F7" s="4" t="inlineStr">
        <is>
          <t>low (0.0)</t>
        </is>
      </c>
      <c r="G7" s="4" t="inlineStr">
        <is>
          <t>표본 부족: 기존 가정 유지</t>
        </is>
      </c>
    </row>
    <row r="8">
      <c r="A8" s="5" t="inlineStr">
        <is>
          <t>우성1·2·3차</t>
        </is>
      </c>
      <c r="B8" s="5" t="n">
        <v>24</v>
      </c>
      <c r="C8" s="5" t="n">
        <v>28.2</v>
      </c>
      <c r="D8" s="5" t="n">
        <v>27.15</v>
      </c>
      <c r="E8" s="5" t="inlineStr">
        <is>
          <t>15/73</t>
        </is>
      </c>
      <c r="F8" s="5" t="inlineStr">
        <is>
          <t>medium (0.75)</t>
        </is>
      </c>
      <c r="G8" s="5" t="inlineStr">
        <is>
          <t>중신뢰: 부분 반영</t>
        </is>
      </c>
    </row>
    <row r="9">
      <c r="A9" s="4" t="inlineStr">
        <is>
          <t>우성4차</t>
        </is>
      </c>
      <c r="B9" s="4" t="n">
        <v>22</v>
      </c>
      <c r="C9" s="4" t="n">
        <v>20.6</v>
      </c>
      <c r="D9" s="4" t="n">
        <v>21.51</v>
      </c>
      <c r="E9" s="4" t="inlineStr">
        <is>
          <t>6/11</t>
        </is>
      </c>
      <c r="F9" s="4" t="inlineStr">
        <is>
          <t>low (0.35)</t>
        </is>
      </c>
      <c r="G9" s="4" t="inlineStr">
        <is>
          <t>저신뢰: 제한 반영</t>
        </is>
      </c>
    </row>
    <row r="10">
      <c r="A10" s="5" t="inlineStr">
        <is>
          <t>아시아선수촌</t>
        </is>
      </c>
      <c r="B10" s="5" t="n">
        <v>28</v>
      </c>
      <c r="C10" s="5" t="n">
        <v>36.92</v>
      </c>
      <c r="D10" s="5" t="n">
        <v>29.78</v>
      </c>
      <c r="E10" s="5" t="inlineStr">
        <is>
          <t>4/34</t>
        </is>
      </c>
      <c r="F10" s="5" t="inlineStr">
        <is>
          <t>low (0.2)</t>
        </is>
      </c>
      <c r="G10" s="5" t="inlineStr">
        <is>
          <t>면적 대체표본: 보수 반영</t>
        </is>
      </c>
    </row>
    <row r="11">
      <c r="A11" s="4" t="inlineStr">
        <is>
          <t>올림픽선수촌</t>
        </is>
      </c>
      <c r="B11" s="4" t="n">
        <v>29</v>
      </c>
      <c r="C11" s="4" t="n">
        <v>25.2</v>
      </c>
      <c r="D11" s="4" t="n">
        <v>25.2</v>
      </c>
      <c r="E11" s="4" t="inlineStr">
        <is>
          <t>46/327</t>
        </is>
      </c>
      <c r="F11" s="4" t="inlineStr">
        <is>
          <t>high (1.0)</t>
        </is>
      </c>
      <c r="G11" s="4" t="inlineStr">
        <is>
          <t>고신뢰: MCP 값 적극 반영</t>
        </is>
      </c>
    </row>
    <row r="12">
      <c r="A12" s="5" t="inlineStr">
        <is>
          <t>올림픽훼밀리</t>
        </is>
      </c>
      <c r="B12" s="5" t="n">
        <v>21.5</v>
      </c>
      <c r="C12" s="5" t="n">
        <v>21.5</v>
      </c>
      <c r="D12" s="5" t="n">
        <v>21.5</v>
      </c>
      <c r="E12" s="5" t="inlineStr">
        <is>
          <t>63/274</t>
        </is>
      </c>
      <c r="F12" s="5" t="inlineStr">
        <is>
          <t>high (1.0)</t>
        </is>
      </c>
      <c r="G12" s="5" t="inlineStr">
        <is>
          <t>고신뢰: MCP 값 적극 반영</t>
        </is>
      </c>
    </row>
    <row r="15">
      <c r="A15" s="2" t="inlineStr">
        <is>
          <t>[2] 출처 목록(신뢰도 계층화)</t>
        </is>
      </c>
    </row>
    <row r="16" ht="28" customHeight="1">
      <c r="A16" s="3" t="inlineStr">
        <is>
          <t>구분</t>
        </is>
      </c>
      <c r="B16" s="3" t="inlineStr">
        <is>
          <t>출처</t>
        </is>
      </c>
      <c r="C16" s="3" t="inlineStr">
        <is>
          <t>핵심 포인트</t>
        </is>
      </c>
      <c r="D16" s="3" t="inlineStr">
        <is>
          <t>신뢰도</t>
        </is>
      </c>
      <c r="E16" s="3" t="inlineStr">
        <is>
          <t>링크</t>
        </is>
      </c>
    </row>
    <row r="17">
      <c r="A17" s="4" t="inlineStr">
        <is>
          <t>공식</t>
        </is>
      </c>
      <c r="B17" s="4" t="inlineStr">
        <is>
          <t>서울시 토지거래허가구역 안내</t>
        </is>
      </c>
      <c r="C17" s="4" t="inlineStr">
        <is>
          <t>강남·서초·송파·용산 지정, 종료일 2026-12-31</t>
        </is>
      </c>
      <c r="D17" s="4" t="inlineStr">
        <is>
          <t>A</t>
        </is>
      </c>
      <c r="E17" s="4" t="inlineStr">
        <is>
          <t>https://land.seoul.go.kr:444/land/rtms/rtmsAptHsAreaInfo.do</t>
        </is>
      </c>
    </row>
    <row r="18">
      <c r="A18" s="5" t="inlineStr">
        <is>
          <t>공식</t>
        </is>
      </c>
      <c r="B18" s="5" t="inlineStr">
        <is>
          <t>한국은행 기준금리 결정</t>
        </is>
      </c>
      <c r="C18" s="5" t="inlineStr">
        <is>
          <t>정책금리 2.50% 수준(2025-05-29 이후)</t>
        </is>
      </c>
      <c r="D18" s="5" t="inlineStr">
        <is>
          <t>A</t>
        </is>
      </c>
      <c r="E18" s="5" t="inlineStr">
        <is>
          <t>https://www.bok.or.kr/portal/bbs/B0000276/view.do?nttId=10084459&amp;menuNo=200499</t>
        </is>
      </c>
    </row>
    <row r="19">
      <c r="A19" s="4" t="inlineStr">
        <is>
          <t>공식</t>
        </is>
      </c>
      <c r="B19" s="4" t="inlineStr">
        <is>
          <t>한국은행 금융안정보고서(2025.06)</t>
        </is>
      </c>
      <c r="C19" s="4" t="inlineStr">
        <is>
          <t>서울 주택가격·가계대출 리스크 경고</t>
        </is>
      </c>
      <c r="D19" s="4" t="inlineStr">
        <is>
          <t>A</t>
        </is>
      </c>
      <c r="E19" s="4" t="inlineStr">
        <is>
          <t>https://www.bok.or.kr/portal/bbs/B0000245/view.do?nttId=10088476&amp;menuNo=200761</t>
        </is>
      </c>
    </row>
    <row r="20">
      <c r="A20" s="5" t="inlineStr">
        <is>
          <t>공식</t>
        </is>
      </c>
      <c r="B20" s="5" t="inlineStr">
        <is>
          <t>금융위원회(2025-06-11)</t>
        </is>
      </c>
      <c r="C20" s="5" t="inlineStr">
        <is>
          <t>스트레스 DSR 3단계 시행 발표</t>
        </is>
      </c>
      <c r="D20" s="5" t="inlineStr">
        <is>
          <t>A</t>
        </is>
      </c>
      <c r="E20" s="5" t="inlineStr">
        <is>
          <t>https://www.fsc.go.kr/no010101/84344</t>
        </is>
      </c>
    </row>
    <row r="21">
      <c r="A21" s="4" t="inlineStr">
        <is>
          <t>MCP</t>
        </is>
      </c>
      <c r="B21" s="4" t="inlineStr">
        <is>
          <t>국토부 실거래가 API 12개월</t>
        </is>
      </c>
      <c r="C21" s="4" t="inlineStr">
        <is>
          <t>단지별 매매·전월세 중앙값/표본수 교차검증</t>
        </is>
      </c>
      <c r="D21" s="4" t="inlineStr">
        <is>
          <t>A</t>
        </is>
      </c>
      <c r="E21" s="4" t="inlineStr">
        <is>
          <t>local:mcp_crosscheck_v5_12m.json</t>
        </is>
      </c>
    </row>
    <row r="22">
      <c r="A22" s="5" t="inlineStr">
        <is>
          <t>연구</t>
        </is>
      </c>
      <c r="B22" s="5" t="inlineStr">
        <is>
          <t>KRIHS WS-2024-18</t>
        </is>
      </c>
      <c r="C22" s="5" t="inlineStr">
        <is>
          <t>시장둔화기에는 공급확대 중심 정책이 가격안정에 유효</t>
        </is>
      </c>
      <c r="D22" s="5" t="inlineStr">
        <is>
          <t>B</t>
        </is>
      </c>
      <c r="E22" s="5" t="inlineStr">
        <is>
          <t>https://www.krihs.re.kr/gallery.es?mid=a10105010000&amp;bid=0018&amp;list_no=389321</t>
        </is>
      </c>
    </row>
    <row r="23">
      <c r="A23" s="4" t="inlineStr">
        <is>
          <t>연구</t>
        </is>
      </c>
      <c r="B23" s="4" t="inlineStr">
        <is>
          <t>Springer (2024) Housing market policy in South Korea</t>
        </is>
      </c>
      <c r="C23" s="4" t="inlineStr">
        <is>
          <t>수요억제 단독보다 공급확대 병행 시 후생 개선</t>
        </is>
      </c>
      <c r="D23" s="4" t="inlineStr">
        <is>
          <t>B</t>
        </is>
      </c>
      <c r="E23" s="4" t="inlineStr">
        <is>
          <t>https://link.springer.com/article/10.1007/s43253-024-00140-1</t>
        </is>
      </c>
    </row>
    <row r="24">
      <c r="A24" s="5" t="inlineStr">
        <is>
          <t>연구</t>
        </is>
      </c>
      <c r="B24" s="5" t="inlineStr">
        <is>
          <t>NBER (2005) Chonsei and sales prices</t>
        </is>
      </c>
      <c r="C24" s="5" t="inlineStr">
        <is>
          <t>금리 하락이 매매/전세 상대가격을 끌어올리는 메커니즘</t>
        </is>
      </c>
      <c r="D24" s="5" t="inlineStr">
        <is>
          <t>B</t>
        </is>
      </c>
      <c r="E24" s="5" t="inlineStr">
        <is>
          <t>https://www.nber.org/papers/w11319</t>
        </is>
      </c>
    </row>
    <row r="25">
      <c r="A25" s="4" t="inlineStr">
        <is>
          <t>연구</t>
        </is>
      </c>
      <c r="B25" s="4" t="inlineStr">
        <is>
          <t>BIS Quarterly Review (2025-09)</t>
        </is>
      </c>
      <c r="C25" s="4" t="inlineStr">
        <is>
          <t>통화완화 구간에서 자산가격 재가열 가능성 점검 필요</t>
        </is>
      </c>
      <c r="D25" s="4" t="inlineStr">
        <is>
          <t>B</t>
        </is>
      </c>
      <c r="E25" s="4" t="inlineStr">
        <is>
          <t>https://www.bis.org/publ/qtrpdf/r_qt2509b.htm</t>
        </is>
      </c>
    </row>
    <row r="26">
      <c r="A26" s="5" t="inlineStr">
        <is>
          <t>커뮤니티</t>
        </is>
      </c>
      <c r="B26" s="5" t="inlineStr">
        <is>
          <t>Blind: 잠실 주공5단지 가능?</t>
        </is>
      </c>
      <c r="C26" s="5" t="inlineStr">
        <is>
          <t>실거주 의무·대출·이주비 체감 리스크 다수</t>
        </is>
      </c>
      <c r="D26" s="5" t="inlineStr">
        <is>
          <t>C</t>
        </is>
      </c>
      <c r="E26" s="5" t="inlineStr">
        <is>
          <t>https://www.teamblind.com/kr/post/%EC%9E%A0%EC%8B%A4-%EC%A3%BC%EA%B3%B55%EB%8B%A8%EC%A7%80-%EA%B0%80%EB%8A%A5-RSPjrBoN</t>
        </is>
      </c>
    </row>
    <row r="27">
      <c r="A27" s="4" t="inlineStr">
        <is>
          <t>커뮤니티</t>
        </is>
      </c>
      <c r="B27" s="4" t="inlineStr">
        <is>
          <t>Blind: 잠실재건축 3대장</t>
        </is>
      </c>
      <c r="C27" s="4" t="inlineStr">
        <is>
          <t>속도/분담금/입지 선호가 실제 의사결정에 영향</t>
        </is>
      </c>
      <c r="D27" s="4" t="inlineStr">
        <is>
          <t>C</t>
        </is>
      </c>
      <c r="E27" s="4" t="inlineStr">
        <is>
          <t>https://www.teamblind.com/kr/post/%EC%9E%A0%EC%8B%A4%EC%9E%AC%EA%B1%B4%EC%B6%95-3%EB%8C%80%EC%9E%A5-U3zROjjq</t>
        </is>
      </c>
    </row>
    <row r="30">
      <c r="A30" s="2" t="inlineStr">
        <is>
          <t>[3] 틀 밖 체크리스트(실전 투자용)</t>
        </is>
      </c>
    </row>
    <row r="31">
      <c r="A31" s="34" t="inlineStr">
        <is>
          <t>1. 조합 총회 의결·소송·감사 이슈를 월 단위로 추적할 것</t>
        </is>
      </c>
    </row>
    <row r="32">
      <c r="A32" s="34" t="inlineStr">
        <is>
          <t>2. 분담금은 단일값이 아니라 낙관/중립/비관 3개 시나리오로 관리할 것</t>
        </is>
      </c>
    </row>
    <row r="33">
      <c r="A33" s="34" t="inlineStr">
        <is>
          <t>3. 토허구역 실거주 요건 충족 여부(본인·가족 거주계획) 먼저 확정할 것</t>
        </is>
      </c>
    </row>
    <row r="34">
      <c r="A34" s="34" t="inlineStr">
        <is>
          <t>4. 이주비/중도금 대출 가능 은행과 한도를 사전승인으로 확인할 것</t>
        </is>
      </c>
    </row>
    <row r="35">
      <c r="A35" s="34" t="inlineStr">
        <is>
          <t>5. 전세 유동성 저하 시 공실/월세전환 리스크를 현금흐름에 반영할 것</t>
        </is>
      </c>
    </row>
    <row r="36">
      <c r="A36" s="34" t="inlineStr">
        <is>
          <t>6. 인근 신축 입주물량 시점과 겹치는지 확인해 매도 타이밍을 분리할 것</t>
        </is>
      </c>
    </row>
    <row r="37">
      <c r="A37" s="34" t="inlineStr">
        <is>
          <t>7. 세무(취득/보유/양도)와 상속·증여 계획을 한 문서에서 통합 검토할 것</t>
        </is>
      </c>
    </row>
  </sheetData>
  <mergeCells count="11">
    <mergeCell ref="A32:G32"/>
    <mergeCell ref="A36:G36"/>
    <mergeCell ref="A1:G1"/>
    <mergeCell ref="A31:G31"/>
    <mergeCell ref="A3:G3"/>
    <mergeCell ref="A34:G34"/>
    <mergeCell ref="A35:G35"/>
    <mergeCell ref="A30:G30"/>
    <mergeCell ref="A15:G15"/>
    <mergeCell ref="A33:G33"/>
    <mergeCell ref="A37:G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최종 투자 판단 종합 매트릭스 (8개 단지 / 투자자)</t>
        </is>
      </c>
    </row>
    <row r="3">
      <c r="A3" s="2" t="inlineStr">
        <is>
          <t>[투자자 유형별 추천]</t>
        </is>
      </c>
    </row>
    <row r="4" ht="28" customHeight="1">
      <c r="A4" s="3" t="inlineStr">
        <is>
          <t>투자자 유형</t>
        </is>
      </c>
      <c r="B4" s="3" t="inlineStr">
        <is>
          <t>1순위</t>
        </is>
      </c>
      <c r="C4" s="3" t="inlineStr">
        <is>
          <t>2순위</t>
        </is>
      </c>
      <c r="D4" s="3" t="inlineStr">
        <is>
          <t>이유</t>
        </is>
      </c>
      <c r="E4" s="3" t="inlineStr">
        <is>
          <t>주의사항</t>
        </is>
      </c>
      <c r="F4" s="3" t="inlineStr"/>
    </row>
    <row r="5">
      <c r="A5" s="5" t="inlineStr">
        <is>
          <t>공격적(고수익)</t>
        </is>
      </c>
      <c r="B5" s="5" t="inlineStr">
        <is>
          <t>우성4차</t>
        </is>
      </c>
      <c r="C5" s="5" t="inlineStr">
        <is>
          <t>장미3차</t>
        </is>
      </c>
      <c r="D5" s="5" t="inlineStr">
        <is>
          <t>진행속도+높은 중립ROI</t>
        </is>
      </c>
      <c r="E5" s="5" t="inlineStr">
        <is>
          <t>소규모/분담금 변동성</t>
        </is>
      </c>
      <c r="F5" s="5" t="inlineStr"/>
    </row>
    <row r="6">
      <c r="A6" s="5" t="inlineStr">
        <is>
          <t>안정적(자산보전)</t>
        </is>
      </c>
      <c r="B6" s="5" t="inlineStr">
        <is>
          <t>장미1·2차</t>
        </is>
      </c>
      <c r="C6" s="5" t="inlineStr">
        <is>
          <t>우성1·2·3차</t>
        </is>
      </c>
      <c r="D6" s="5" t="inlineStr">
        <is>
          <t>현금흐름·입지·유동성 균형</t>
        </is>
      </c>
      <c r="E6" s="5" t="inlineStr">
        <is>
          <t>인허가 지연 가능성</t>
        </is>
      </c>
      <c r="F6" s="5" t="inlineStr"/>
    </row>
    <row r="7">
      <c r="A7" s="5" t="inlineStr">
        <is>
          <t>중장기(5년+)</t>
        </is>
      </c>
      <c r="B7" s="5" t="inlineStr">
        <is>
          <t>올림픽선수촌</t>
        </is>
      </c>
      <c r="C7" s="5" t="inlineStr">
        <is>
          <t>아시아선수촌</t>
        </is>
      </c>
      <c r="D7" s="5" t="inlineStr">
        <is>
          <t>대단지/장기개발 잠재력</t>
        </is>
      </c>
      <c r="E7" s="5" t="inlineStr">
        <is>
          <t>사업기간 8년+</t>
        </is>
      </c>
      <c r="F7" s="5" t="inlineStr"/>
    </row>
    <row r="8">
      <c r="A8" s="5" t="inlineStr">
        <is>
          <t>가성비(진입가대비)</t>
        </is>
      </c>
      <c r="B8" s="5" t="inlineStr">
        <is>
          <t>우성4차</t>
        </is>
      </c>
      <c r="C8" s="5" t="inlineStr">
        <is>
          <t>장미3차</t>
        </is>
      </c>
      <c r="D8" s="5" t="inlineStr">
        <is>
          <t>상대저가+수익률 우위</t>
        </is>
      </c>
      <c r="E8" s="5" t="inlineStr">
        <is>
          <t>재무 레버리지 관리</t>
        </is>
      </c>
      <c r="F8" s="5" t="inlineStr"/>
    </row>
    <row r="9">
      <c r="A9" s="5" t="inlineStr">
        <is>
          <t>실거주+투자</t>
        </is>
      </c>
      <c r="B9" s="5" t="inlineStr">
        <is>
          <t>잠실주공5단지</t>
        </is>
      </c>
      <c r="C9" s="5" t="inlineStr">
        <is>
          <t>장미1·2차</t>
        </is>
      </c>
      <c r="D9" s="5" t="inlineStr">
        <is>
          <t>핵심입지 선호 시 선택지</t>
        </is>
      </c>
      <c r="E9" s="5" t="inlineStr">
        <is>
          <t>주공5는 현금흐름 음수 가능</t>
        </is>
      </c>
      <c r="F9" s="5" t="inlineStr"/>
    </row>
    <row r="12">
      <c r="A12" s="2" t="inlineStr">
        <is>
          <t>[종합 평가 매트릭스]</t>
        </is>
      </c>
    </row>
    <row r="13" ht="28" customHeight="1">
      <c r="A13" s="3" t="inlineStr">
        <is>
          <t>평가 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입지/환경(30%)</t>
        </is>
      </c>
      <c r="B14" s="8" t="n">
        <v>9.4</v>
      </c>
      <c r="C14" s="8" t="n">
        <v>8.6</v>
      </c>
      <c r="D14" s="6" t="n">
        <v>7.9</v>
      </c>
      <c r="E14" s="6" t="n">
        <v>7.5</v>
      </c>
      <c r="F14" s="6" t="n">
        <v>7.1</v>
      </c>
      <c r="G14" s="6" t="n">
        <v>7.9</v>
      </c>
      <c r="H14" s="6" t="n">
        <v>7.1</v>
      </c>
      <c r="I14" s="6" t="n">
        <v>6.7</v>
      </c>
    </row>
    <row r="15">
      <c r="A15" s="5" t="inlineStr">
        <is>
          <t>재건축사업성(25%)</t>
        </is>
      </c>
      <c r="B15" s="8" t="n">
        <v>9.1</v>
      </c>
      <c r="C15" s="7" t="n">
        <v>5.9</v>
      </c>
      <c r="D15" s="7" t="n">
        <v>5.5</v>
      </c>
      <c r="E15" s="6" t="n">
        <v>6.9</v>
      </c>
      <c r="F15" s="6" t="n">
        <v>6.9</v>
      </c>
      <c r="G15" s="7" t="n">
        <v>5.1</v>
      </c>
      <c r="H15" s="7" t="n">
        <v>4.9</v>
      </c>
      <c r="I15" s="7" t="n">
        <v>4.4</v>
      </c>
    </row>
    <row r="16">
      <c r="A16" s="4" t="inlineStr">
        <is>
          <t>투자수익성(25%)</t>
        </is>
      </c>
      <c r="B16" s="7" t="n">
        <v>4.1</v>
      </c>
      <c r="C16" s="6" t="n">
        <v>6.5</v>
      </c>
      <c r="D16" s="6" t="n">
        <v>6.6</v>
      </c>
      <c r="E16" s="6" t="n">
        <v>6.1</v>
      </c>
      <c r="F16" s="6" t="n">
        <v>7.3</v>
      </c>
      <c r="G16" s="7" t="n">
        <v>5</v>
      </c>
      <c r="H16" s="6" t="n">
        <v>6.1</v>
      </c>
      <c r="I16" s="6" t="n">
        <v>6.6</v>
      </c>
    </row>
    <row r="17">
      <c r="A17" s="5" t="inlineStr">
        <is>
          <t>안정성(10%)</t>
        </is>
      </c>
      <c r="B17" s="6" t="n">
        <v>6.8</v>
      </c>
      <c r="C17" s="6" t="n">
        <v>6.2</v>
      </c>
      <c r="D17" s="7" t="n">
        <v>5.2</v>
      </c>
      <c r="E17" s="6" t="n">
        <v>6.4</v>
      </c>
      <c r="F17" s="6" t="n">
        <v>6.8</v>
      </c>
      <c r="G17" s="7" t="n">
        <v>4.2</v>
      </c>
      <c r="H17" s="7" t="n">
        <v>4.8</v>
      </c>
      <c r="I17" s="7" t="n">
        <v>5.2</v>
      </c>
    </row>
    <row r="18">
      <c r="A18" s="4" t="inlineStr">
        <is>
          <t>미래가치(10%)</t>
        </is>
      </c>
      <c r="B18" s="8" t="n">
        <v>10</v>
      </c>
      <c r="C18" s="8" t="n">
        <v>8</v>
      </c>
      <c r="D18" s="6" t="n">
        <v>7</v>
      </c>
      <c r="E18" s="6" t="n">
        <v>6</v>
      </c>
      <c r="F18" s="7" t="n">
        <v>5</v>
      </c>
      <c r="G18" s="8" t="n">
        <v>9</v>
      </c>
      <c r="H18" s="8" t="n">
        <v>8</v>
      </c>
      <c r="I18" s="7" t="n">
        <v>5</v>
      </c>
    </row>
    <row r="19">
      <c r="A19" s="47" t="inlineStr">
        <is>
          <t>현금흐름 가드레일(보정점)</t>
        </is>
      </c>
      <c r="B19" s="48" t="n">
        <v>-28.6</v>
      </c>
      <c r="C19" s="49" t="n">
        <v>-0</v>
      </c>
      <c r="D19" s="49" t="n">
        <v>-0</v>
      </c>
      <c r="E19" s="49" t="n">
        <v>-0</v>
      </c>
      <c r="F19" s="49" t="n">
        <v>-0</v>
      </c>
      <c r="G19" s="48" t="n">
        <v>-7.8</v>
      </c>
      <c r="H19" s="48" t="n">
        <v>-6.5</v>
      </c>
      <c r="I19" s="48" t="n">
        <v>-10</v>
      </c>
    </row>
    <row r="20">
      <c r="A20" s="16" t="inlineStr">
        <is>
          <t>가중종합점수(100점)</t>
        </is>
      </c>
      <c r="B20" s="17" t="n">
        <v>49.4</v>
      </c>
      <c r="C20" s="17" t="n">
        <v>71</v>
      </c>
      <c r="D20" s="17" t="n">
        <v>66.2</v>
      </c>
      <c r="E20" s="17" t="n">
        <v>67.40000000000001</v>
      </c>
      <c r="F20" s="17" t="n">
        <v>68.59999999999999</v>
      </c>
      <c r="G20" s="17" t="n">
        <v>54.3</v>
      </c>
      <c r="H20" s="17" t="n">
        <v>55.1</v>
      </c>
      <c r="I20" s="17" t="n">
        <v>47.8</v>
      </c>
    </row>
    <row r="21">
      <c r="A21" s="16" t="inlineStr">
        <is>
          <t>최종 순위</t>
        </is>
      </c>
      <c r="B21" s="50" t="inlineStr">
        <is>
          <t>7위</t>
        </is>
      </c>
      <c r="C21" s="51" t="inlineStr">
        <is>
          <t>1위</t>
        </is>
      </c>
      <c r="D21" s="50" t="inlineStr">
        <is>
          <t>4위</t>
        </is>
      </c>
      <c r="E21" s="52" t="inlineStr">
        <is>
          <t>3위</t>
        </is>
      </c>
      <c r="F21" s="53" t="inlineStr">
        <is>
          <t>2위</t>
        </is>
      </c>
      <c r="G21" s="50" t="inlineStr">
        <is>
          <t>6위</t>
        </is>
      </c>
      <c r="H21" s="50" t="inlineStr">
        <is>
          <t>5위</t>
        </is>
      </c>
      <c r="I21" s="50" t="inlineStr">
        <is>
          <t>8위</t>
        </is>
      </c>
    </row>
    <row r="23">
      <c r="A23" s="54" t="inlineStr">
        <is>
          <t>[핵심 결론 및 전략적 제언]</t>
        </is>
      </c>
    </row>
    <row r="24">
      <c r="A24" s="35" t="inlineStr">
        <is>
          <t>0. [프로필] 투자자: 현금흐름과 리스크 균형</t>
        </is>
      </c>
    </row>
    <row r="25">
      <c r="A25" s="35" t="inlineStr">
        <is>
          <t>1. [연환산 최고] 우성4차: 2029 준공, 연환산 5.3% (총투자비 기준)</t>
        </is>
      </c>
    </row>
    <row r="26">
      <c r="A26" s="35" t="inlineStr">
        <is>
          <t>2. [중립 ROI 최고] 우성4차: ROI 11.4% (총투자비 기준)</t>
        </is>
      </c>
    </row>
    <row r="27">
      <c r="A27" s="35" t="inlineStr">
        <is>
          <t>3. [종합점수 1위] 장미1·2차: 가중종합 71.0점</t>
        </is>
      </c>
    </row>
    <row r="28">
      <c r="A28" s="35" t="inlineStr">
        <is>
          <t>4. [차순위] 우성4차, 우성1·2·3차: 분산 진입 시 리스크 완화 가능</t>
        </is>
      </c>
    </row>
    <row r="29">
      <c r="A29" s="35" t="inlineStr"/>
    </row>
    <row r="30">
      <c r="A30" s="35" t="inlineStr">
        <is>
          <t>※ ROI(초기원가)와 ROI(총투자비)를 분리 표기해 해석 혼선을 줄였습니다.</t>
        </is>
      </c>
    </row>
    <row r="31">
      <c r="A31" s="35" t="inlineStr">
        <is>
          <t>※ 시나리오 Base는 수익성 시트 중립 가정과 동일하고, Bull/Bear는 분위수(P90/P10) 기반으로 산정했습니다.</t>
        </is>
      </c>
    </row>
    <row r="32">
      <c r="A32" s="35" t="inlineStr">
        <is>
          <t>※ 시나리오 산식·가정·캘리브레이션 로그는 시나리오_방법론 시트에 상세 기록했습니다.</t>
        </is>
      </c>
    </row>
    <row r="33">
      <c r="A33" s="35" t="inlineStr">
        <is>
          <t>※ 공식/연구/커뮤니티를 신뢰도 계층으로 분리해 반영했습니다(현실검증_출처 시트 참조).</t>
        </is>
      </c>
    </row>
    <row r="34">
      <c r="A34" s="35" t="inlineStr">
        <is>
          <t>※ 본 문서는 참고자료이며 실제 투자 전 세무/법률/자금조달 검토가 필요합니다.</t>
        </is>
      </c>
    </row>
    <row r="36">
      <c r="A36" s="30" t="inlineStr">
        <is>
          <t>※ 2026-02-19 기준 공개데이터/실거래/MCP 교차검증 기반. 투자판단 참고자료이며, 전문가 상담 권장.</t>
        </is>
      </c>
    </row>
  </sheetData>
  <mergeCells count="16">
    <mergeCell ref="A29:I29"/>
    <mergeCell ref="A25:I25"/>
    <mergeCell ref="A33:I33"/>
    <mergeCell ref="A28:I28"/>
    <mergeCell ref="A32:I32"/>
    <mergeCell ref="A36:I36"/>
    <mergeCell ref="A1:I1"/>
    <mergeCell ref="A23:I23"/>
    <mergeCell ref="A27:I27"/>
    <mergeCell ref="A30:I30"/>
    <mergeCell ref="A31:I31"/>
    <mergeCell ref="A3:F3"/>
    <mergeCell ref="A12:I12"/>
    <mergeCell ref="A26:I26"/>
    <mergeCell ref="A24:I24"/>
    <mergeCell ref="A34:I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2026-02-19T09:17:04Z</dcterms:created>
  <dcterms:modified xsi:type="dcterms:W3CDTF">2026-02-19T09:17:05Z</dcterms:modified>
</cp:coreProperties>
</file>